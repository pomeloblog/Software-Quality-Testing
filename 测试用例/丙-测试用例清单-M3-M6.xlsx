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5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xmlns:a="http://schemas.openxmlformats.org/drawingml/2006/main" w="2540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056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104775"/>
          <a:ext cx="2828925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L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0.6328125" customWidth="1" style="43" min="2" max="13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n"/>
      <c r="D7" s="9" t="n"/>
      <c r="E7" s="11" t="inlineStr">
        <is>
          <t xml:space="preserve"> 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 xml:space="preserve"> 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n"/>
      <c r="D8" s="9" t="n"/>
      <c r="E8" s="11" t="inlineStr">
        <is>
          <t xml:space="preserve"> </t>
        </is>
      </c>
      <c r="F8" s="11" t="n"/>
      <c r="G8" s="9" t="inlineStr">
        <is>
          <t>Project ID 项目ID</t>
        </is>
      </c>
      <c r="H8" s="9" t="n"/>
      <c r="I8" s="9" t="n"/>
      <c r="J8" s="11" t="inlineStr">
        <is>
          <t xml:space="preserve"> 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n"/>
      <c r="D9" s="9" t="n"/>
      <c r="E9" s="11" t="inlineStr">
        <is>
          <t xml:space="preserve"> </t>
        </is>
      </c>
      <c r="F9" s="11" t="n"/>
      <c r="G9" s="9" t="inlineStr">
        <is>
          <t>Date 日期</t>
        </is>
      </c>
      <c r="H9" s="9" t="n"/>
      <c r="I9" s="9" t="n"/>
      <c r="J9" s="11" t="inlineStr">
        <is>
          <t xml:space="preserve"> 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n"/>
      <c r="D10" s="9" t="n"/>
      <c r="E10" s="11" t="inlineStr">
        <is>
          <t xml:space="preserve"> </t>
        </is>
      </c>
      <c r="F10" s="11" t="n"/>
      <c r="G10" s="9" t="inlineStr">
        <is>
          <t>Date 日期</t>
        </is>
      </c>
      <c r="H10" s="9" t="n"/>
      <c r="I10" s="9" t="n"/>
      <c r="J10" s="11" t="inlineStr">
        <is>
          <t xml:space="preserve"> 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n"/>
      <c r="D11" s="9" t="n"/>
      <c r="E11" s="11" t="inlineStr">
        <is>
          <t xml:space="preserve"> </t>
        </is>
      </c>
      <c r="F11" s="11" t="n"/>
      <c r="G11" s="9" t="inlineStr">
        <is>
          <t>Date 日期</t>
        </is>
      </c>
      <c r="H11" s="9" t="n"/>
      <c r="I11" s="9" t="n"/>
      <c r="J11" s="11" t="inlineStr">
        <is>
          <t xml:space="preserve"> 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>
        <f>65535-COUNTBLANK('Test Cases测试用例'!A:A)</f>
        <v/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8.9" customHeight="1">
      <c r="B16" s="4" t="inlineStr">
        <is>
          <t>在此处概述本测试用例</t>
        </is>
      </c>
      <c r="C16" s="14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0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57" t="inlineStr">
        <is>
          <t>yyyy.mm.dd</t>
        </is>
      </c>
      <c r="C20" s="18" t="inlineStr">
        <is>
          <t>1.00</t>
        </is>
      </c>
      <c r="D20" s="11" t="inlineStr">
        <is>
          <t>xxx</t>
        </is>
      </c>
      <c r="E20" s="11" t="inlineStr">
        <is>
          <t>initial 初稿完成</t>
        </is>
      </c>
      <c r="F20" s="11" t="n"/>
      <c r="G20" s="11" t="n"/>
      <c r="H20" s="11" t="n"/>
      <c r="I20" s="11" t="n"/>
      <c r="J20" s="11" t="n"/>
      <c r="K20" s="11" t="inlineStr">
        <is>
          <t>Name 作者名</t>
        </is>
      </c>
      <c r="L20" s="10" t="n"/>
    </row>
    <row r="21" ht="16.2" customHeight="1">
      <c r="B21" s="57" t="inlineStr">
        <is>
          <t>yyyy.mm.dd</t>
        </is>
      </c>
      <c r="C21" s="18" t="n">
        <v>1.01</v>
      </c>
      <c r="D21" s="11" t="inlineStr">
        <is>
          <t>xxx</t>
        </is>
      </c>
      <c r="E21" s="11" t="inlineStr">
        <is>
          <t>revised xxx 修改XXX Xxx Xxx ...</t>
        </is>
      </c>
      <c r="F21" s="11" t="n"/>
      <c r="G21" s="11" t="n"/>
      <c r="H21" s="11" t="n"/>
      <c r="I21" s="11" t="n"/>
      <c r="J21" s="11" t="n"/>
      <c r="K21" s="11" t="inlineStr">
        <is>
          <t>Name 作者名</t>
        </is>
      </c>
      <c r="L21" s="10" t="n"/>
    </row>
    <row r="22" ht="16.2" customHeight="1">
      <c r="B22" s="57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" customHeight="1">
      <c r="B23" s="57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" customHeight="1">
      <c r="B24" s="57" t="inlineStr">
        <is>
          <t>……</t>
        </is>
      </c>
      <c r="C24" s="18" t="inlineStr">
        <is>
          <t>……</t>
        </is>
      </c>
      <c r="D24" s="58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" customHeight="1">
      <c r="B25" s="57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57" t="inlineStr">
        <is>
          <t>yyyy.mm.dd</t>
        </is>
      </c>
      <c r="K29" s="57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57" t="inlineStr">
        <is>
          <t>yyyy.mm.dd</t>
        </is>
      </c>
      <c r="K30" s="57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57" t="inlineStr">
        <is>
          <t>yyyy.mm.dd</t>
        </is>
      </c>
      <c r="K31" s="57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57" t="inlineStr">
        <is>
          <t>yyyy.mm.dd</t>
        </is>
      </c>
      <c r="K32" s="57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59" t="inlineStr">
        <is>
          <t>yyyy.mm.dd</t>
        </is>
      </c>
      <c r="K33" s="60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1" t="n"/>
      <c r="K34" s="61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62" t="inlineStr">
        <is>
          <t>测试结果分析</t>
        </is>
      </c>
      <c r="C37" s="63" t="n"/>
      <c r="D37" s="63" t="n"/>
      <c r="E37" s="64" t="n"/>
    </row>
    <row r="38" ht="16.2" customHeight="1">
      <c r="B38" s="28" t="inlineStr">
        <is>
          <t>OK项</t>
        </is>
      </c>
      <c r="C38" s="29">
        <f>IF($E$13=0,0,COUNTIF('Test Cases测试用例'!$L:$L,"=OK"))</f>
        <v/>
      </c>
      <c r="D38" s="28" t="inlineStr">
        <is>
          <t>OK率</t>
        </is>
      </c>
      <c r="E38" s="30">
        <f>IF(E13=0,0,C38/E13)</f>
        <v/>
      </c>
    </row>
    <row r="39" ht="16.2" customHeight="1">
      <c r="B39" s="28" t="inlineStr">
        <is>
          <t>POK项</t>
        </is>
      </c>
      <c r="C39" s="29">
        <f>IF($E$13=0,0,COUNTIF('Test Cases测试用例'!$L:$L,"=POK"))</f>
        <v/>
      </c>
      <c r="D39" s="28" t="inlineStr">
        <is>
          <t>POK率</t>
        </is>
      </c>
      <c r="E39" s="30">
        <f>IF(E13=0,0,C39/E13)</f>
        <v/>
      </c>
    </row>
    <row r="40" ht="16.2" customHeight="1">
      <c r="B40" s="28" t="inlineStr">
        <is>
          <t>NG项</t>
        </is>
      </c>
      <c r="C40" s="29">
        <f>IF($E$13=0,0,COUNTIF('Test Cases测试用例'!$L:$L,"=NG"))</f>
        <v/>
      </c>
      <c r="D40" s="28" t="inlineStr">
        <is>
          <t>NG率</t>
        </is>
      </c>
      <c r="E40" s="30">
        <f>IF(E13=0,0,C40/E13)</f>
        <v/>
      </c>
    </row>
    <row r="41" ht="16.2" customHeight="1">
      <c r="B41" s="31" t="inlineStr">
        <is>
          <t>NT项</t>
        </is>
      </c>
      <c r="C41" s="32">
        <f>IF($E$13=0,0,COUNTIF('Test Cases测试用例'!$L:$L,"=NT"))</f>
        <v/>
      </c>
      <c r="D41" s="31" t="inlineStr">
        <is>
          <t>NT率</t>
        </is>
      </c>
      <c r="E41" s="33">
        <f>IF(E13=0,0,C41/E13)</f>
        <v/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5">
        <f>E13</f>
        <v/>
      </c>
      <c r="D43" s="66" t="n"/>
      <c r="E43" s="67" t="n"/>
    </row>
  </sheetData>
  <mergeCells count="2"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selection activeCell="B2" sqref="B2"/>
    </sheetView>
  </sheetViews>
  <sheetFormatPr baseColWidth="8" defaultColWidth="11.6328125" defaultRowHeight="15.6"/>
  <cols>
    <col width="12" customWidth="1" style="44" min="1" max="1"/>
    <col width="16" customWidth="1" style="44" min="2" max="2"/>
    <col width="24" customWidth="1" style="44" min="3" max="3"/>
    <col width="8" customWidth="1" style="44" min="4" max="4"/>
    <col hidden="1" width="8" customWidth="1" style="44" min="5" max="5"/>
    <col hidden="1" width="8" customWidth="1" style="44" min="6" max="6"/>
    <col width="26" customWidth="1" style="44" min="7" max="7"/>
    <col width="26" customWidth="1" style="44" min="8" max="8"/>
    <col width="34" customWidth="1" style="44" min="9" max="9"/>
    <col width="38" customWidth="1" style="44" min="10" max="10"/>
    <col width="8" customWidth="1" style="44" min="11" max="11"/>
    <col width="8" customWidth="1" style="44" min="12" max="12"/>
    <col width="44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>
      <c r="A2" s="42" t="inlineStr">
        <is>
          <t>BS-IT-041</t>
        </is>
      </c>
      <c r="B2" s="42" t="inlineStr">
        <is>
          <t>M3 图书浏览与检索</t>
        </is>
      </c>
      <c r="C2" s="42" t="inlineStr">
        <is>
          <t>首页分页pageNo边界容错</t>
        </is>
      </c>
      <c r="D2" s="42" t="inlineStr">
        <is>
          <t>高</t>
        </is>
      </c>
      <c r="E2" s="42" t="inlineStr">
        <is>
          <t>是</t>
        </is>
      </c>
      <c r="F2" s="42" t="inlineStr">
        <is>
          <t>新增</t>
        </is>
      </c>
      <c r="G2" s="42" t="inlineStr">
        <is>
          <t>系统运行中；图书库29本（每页4条共8页）</t>
        </is>
      </c>
      <c r="H2" s="42" t="inlineStr">
        <is>
          <t>pageNo=1 / 0 / -1 / 99999 / abc</t>
        </is>
      </c>
      <c r="I2" s="42" t="inlineStr">
        <is>
          <t>1.依次请求 /Book/client/bookServlet?action=page&amp;pageNo=X 2.检查HTTP状态码 3.统计页面展示图书条数</t>
        </is>
      </c>
      <c r="J2" s="42" t="inlineStr">
        <is>
          <t>pageNo=1显示4本；0和-1回退到第1页；99999回退到末页（第8页，1本）；非数字取默认值1；全部返回HTTP 200</t>
        </is>
      </c>
      <c r="K2" s="42" t="inlineStr">
        <is>
          <t>OK</t>
        </is>
      </c>
      <c r="L2" s="42" t="inlineStr">
        <is>
          <t>通过</t>
        </is>
      </c>
      <c r="M2" s="42" t="inlineStr">
        <is>
          <t>边界值法（合法值、上/下越界、非法值）。实测：全部容错正确，无服务器错误</t>
        </is>
      </c>
      <c r="N2" s="43" t="inlineStr">
        <is>
          <t>OK</t>
        </is>
      </c>
    </row>
    <row r="3">
      <c r="A3" s="42" t="inlineStr">
        <is>
          <t>BS-IT-042</t>
        </is>
      </c>
      <c r="B3" s="42" t="inlineStr">
        <is>
          <t>M3 图书浏览与检索</t>
        </is>
      </c>
      <c r="C3" s="42" t="inlineStr">
        <is>
          <t>分页pageSize边界</t>
        </is>
      </c>
      <c r="D3" s="42" t="inlineStr">
        <is>
          <t>高</t>
        </is>
      </c>
      <c r="E3" s="42" t="inlineStr">
        <is>
          <t>是</t>
        </is>
      </c>
      <c r="F3" s="42" t="inlineStr">
        <is>
          <t>新增</t>
        </is>
      </c>
      <c r="G3" s="42" t="inlineStr">
        <is>
          <t>同041</t>
        </is>
      </c>
      <c r="H3" s="42" t="inlineStr">
        <is>
          <t>pageSize=6 / abc / 0 / -1</t>
        </is>
      </c>
      <c r="I3" s="42" t="inlineStr">
        <is>
          <t>1.依次请求 action=page&amp;pageNo=1&amp;pageSize=X 2.检查HTTP状态码与返回条数</t>
        </is>
      </c>
      <c r="J3" s="42" t="inlineStr">
        <is>
          <t>合法值6返回6本；非数字容错为默认4；0和-1容错为默认4，均不应出现服务器500错误</t>
        </is>
      </c>
      <c r="K3" s="42" t="inlineStr">
        <is>
          <t>NG</t>
        </is>
      </c>
      <c r="L3" s="42" t="inlineStr">
        <is>
          <t>不通过</t>
        </is>
      </c>
      <c r="M3" s="42" t="inlineStr">
        <is>
          <t>边界值法（0点、负值、非法值）。实测：pageSize=0→HTTP 500（pageTotalCount%pageSize除零ArithmeticException）；pageSize=-1→HTTP 500（LIMIT负数SQL错误）；6与abc正常</t>
        </is>
      </c>
      <c r="N3" s="43" t="inlineStr">
        <is>
          <t>POK</t>
        </is>
      </c>
    </row>
    <row r="4">
      <c r="A4" s="42" t="inlineStr">
        <is>
          <t>BS-IT-043</t>
        </is>
      </c>
      <c r="B4" s="42" t="inlineStr">
        <is>
          <t>M3 图书浏览与检索</t>
        </is>
      </c>
      <c r="C4" s="42" t="inlineStr">
        <is>
          <t>书名/作者搜索等价类</t>
        </is>
      </c>
      <c r="D4" t="inlineStr">
        <is>
          <t>高</t>
        </is>
      </c>
      <c r="E4" s="42" t="inlineStr">
        <is>
          <t>是</t>
        </is>
      </c>
      <c r="F4" s="42" t="inlineStr">
        <is>
          <t>新增</t>
        </is>
      </c>
      <c r="G4" s="42" t="inlineStr">
        <is>
          <t>同041；库中有《三体》（刘慈欣）、《解忧杂货店》（东野圭吾）</t>
        </is>
      </c>
      <c r="H4" s="42" t="inlineStr">
        <is>
          <t>nameorauthor=三体 / 东野圭吾 / zzz不存在zzz / ' or 1=1 --</t>
        </is>
      </c>
      <c r="I4" s="42" t="inlineStr">
        <is>
          <t>1.依次请求 action=pageByNameOrAuthor&amp;nameorauthor=X 2.检查命中图书与HTTP状态</t>
        </is>
      </c>
      <c r="J4" s="42" t="inlineStr">
        <is>
          <t>合法词命中对应图书（书名或作者模糊匹配）；不存在的词返回空列表不报错；SQL注入串被参数化查询拦截，返回空结果无异常</t>
        </is>
      </c>
      <c r="K4" s="42" t="inlineStr">
        <is>
          <t>OK</t>
        </is>
      </c>
      <c r="L4" s="42" t="inlineStr">
        <is>
          <t>通过</t>
        </is>
      </c>
      <c r="M4" s="42" t="inlineStr">
        <is>
          <t>等价类法（有效：书名/作者；无效：不存在词、注入串）。实测：四类输入行为均正确，注入未生效</t>
        </is>
      </c>
      <c r="N4" s="43" t="inlineStr">
        <is>
          <t>NG</t>
        </is>
      </c>
    </row>
    <row r="5">
      <c r="A5" s="42" t="inlineStr">
        <is>
          <t>BS-IT-044</t>
        </is>
      </c>
      <c r="B5" s="42" t="inlineStr">
        <is>
          <t>M3 图书浏览与检索</t>
        </is>
      </c>
      <c r="C5" s="42" t="inlineStr">
        <is>
          <t>搜索翻页链接特殊字符兼容</t>
        </is>
      </c>
      <c r="D5" s="42" t="inlineStr">
        <is>
          <t>高</t>
        </is>
      </c>
      <c r="E5" s="42" t="inlineStr">
        <is>
          <t>是</t>
        </is>
      </c>
      <c r="F5" s="42" t="inlineStr">
        <is>
          <t>新增</t>
        </is>
      </c>
      <c r="G5" s="42" t="inlineStr">
        <is>
          <t>同041</t>
        </is>
      </c>
      <c r="H5" s="42" t="inlineStr">
        <is>
          <t>nameorauthor=三 体（含空格）/ a&amp;b（含连接符）</t>
        </is>
      </c>
      <c r="I5" s="42" t="inlineStr">
        <is>
          <t>1.请求 action=pageByNameOrAuthor&amp;nameorauthor=三%20体 2.检查响应HTML中翻页导航链接的href属性</t>
        </is>
      </c>
      <c r="J5" s="42" t="inlineStr">
        <is>
          <t>翻页链接中的搜索词值应做URL编码，保证点击"下一页"后搜索条件完整传递</t>
        </is>
      </c>
      <c r="K5" s="42" t="inlineStr">
        <is>
          <t>NG</t>
        </is>
      </c>
      <c r="L5" s="42" t="inlineStr">
        <is>
          <t>不通过</t>
        </is>
      </c>
      <c r="M5" s="42" t="inlineStr">
        <is>
          <t>场景法/缺陷定向验证。实测：href形如 ...&amp;nameorauthor=三 体&amp;pageNo=2，空格与&amp;未编码（ClientBookServlet第48行原始拼接）；点击翻页后搜索词被截断、&amp;后内容丢失</t>
        </is>
      </c>
      <c r="N5" s="43" t="inlineStr">
        <is>
          <t>NT</t>
        </is>
      </c>
    </row>
    <row r="6">
      <c r="A6" s="42" t="inlineStr">
        <is>
          <t>BS-IT-045</t>
        </is>
      </c>
      <c r="B6" s="42" t="inlineStr">
        <is>
          <t>M3 图书浏览与检索</t>
        </is>
      </c>
      <c r="C6" s="42" t="inlineStr">
        <is>
          <t>价格区间筛选边界</t>
        </is>
      </c>
      <c r="D6" s="42" t="inlineStr">
        <is>
          <t>高</t>
        </is>
      </c>
      <c r="E6" s="42" t="inlineStr">
        <is>
          <t>是</t>
        </is>
      </c>
      <c r="F6" s="42" t="inlineStr">
        <is>
          <t>新增</t>
        </is>
      </c>
      <c r="G6" s="42" t="inlineStr">
        <is>
          <t>同041；库中存在10~30元图书、价格为57和56.5的边界样本</t>
        </is>
      </c>
      <c r="H6" s="42" t="inlineStr">
        <is>
          <t>min,max = (10,30) / (57,57) / (100,10) / (56.5,56.5)</t>
        </is>
      </c>
      <c r="I6" s="42" t="inlineStr">
        <is>
          <t>1.依次请求 action=pageByPrice&amp;min=X&amp;max=Y 2.页面结果数与直查库区间数比对 3.检查提示信息</t>
        </is>
      </c>
      <c r="J6" s="42" t="inlineStr">
        <is>
          <t>合法区间结果与库一致；min=max精确匹配；min&gt;max给出可见提示或自动归一化；小数价格参数正常参与筛选</t>
        </is>
      </c>
      <c r="K6" s="42" t="inlineStr">
        <is>
          <t>NG</t>
        </is>
      </c>
      <c r="L6" s="42" t="inlineStr">
        <is>
          <t>不通过</t>
        </is>
      </c>
      <c r="M6" s="42" t="inlineStr">
        <is>
          <t>边界值法+等价类法。实测：min&gt;max返回空列表且无任何提示；(56.5,56.5)筛选完全失效——WebUtils.parseInt仅支持整数，解析失败静默回退0~最大值，页面仍显示全部图书</t>
        </is>
      </c>
      <c r="N6" s="43" t="n"/>
    </row>
    <row r="7">
      <c r="A7" s="42" t="inlineStr">
        <is>
          <t>BS-IT-046</t>
        </is>
      </c>
      <c r="B7" s="42" t="inlineStr">
        <is>
          <t>M3 图书浏览与检索</t>
        </is>
      </c>
      <c r="C7" s="42" t="inlineStr">
        <is>
          <t>销量榜单排序与完整性</t>
        </is>
      </c>
      <c r="D7" s="42" t="inlineStr">
        <is>
          <t>中</t>
        </is>
      </c>
      <c r="E7" s="42" t="inlineStr">
        <is>
          <t>是</t>
        </is>
      </c>
      <c r="F7" s="42" t="inlineStr">
        <is>
          <t>新增</t>
        </is>
      </c>
      <c r="G7" s="42" t="inlineStr">
        <is>
          <t>造数：将id=1《解忧杂货店》sales改为999（全库最高），测试后还原为100</t>
        </is>
      </c>
      <c r="H7" s="42" t="inlineStr">
        <is>
          <t>-</t>
        </is>
      </c>
      <c r="I7" s="42" t="inlineStr">
        <is>
          <t>1.请求 action=pageOrder 2.检查榜单是否包含《解忧杂货店》</t>
        </is>
      </c>
      <c r="J7" s="42" t="inlineStr">
        <is>
          <t>榜单按销量降序展示，且必须包含销量第一名</t>
        </is>
      </c>
      <c r="K7" s="42" t="inlineStr">
        <is>
          <t>NG</t>
        </is>
      </c>
      <c r="L7" s="42" t="inlineStr">
        <is>
          <t>不通过</t>
        </is>
      </c>
      <c r="M7" s="42" t="inlineStr">
        <is>
          <t>缺陷定向验证。实测：榜单不含销量第一名；SQL为 ORDER BY sales DESC LIMIT 1,50（BookDaoImpl第88行），偏移量1跳过第1名从第2名开始</t>
        </is>
      </c>
      <c r="N7" s="43" t="n"/>
    </row>
    <row r="8">
      <c r="A8" s="42" t="inlineStr">
        <is>
          <t>BS-IT-101</t>
        </is>
      </c>
      <c r="B8" s="42" t="inlineStr">
        <is>
          <t>M6 后台管理</t>
        </is>
      </c>
      <c r="C8" s="42" t="inlineStr">
        <is>
          <t>管理员图书管理分页列表</t>
        </is>
      </c>
      <c r="D8" s="42" t="inlineStr">
        <is>
          <t>高</t>
        </is>
      </c>
      <c r="E8" s="42" t="inlineStr">
        <is>
          <t>是</t>
        </is>
      </c>
      <c r="F8" s="42" t="inlineStr">
        <is>
          <t>新增</t>
        </is>
      </c>
      <c r="G8" s="42" t="inlineStr">
        <is>
          <t>admin/admin为管理员账号</t>
        </is>
      </c>
      <c r="H8" s="42" t="inlineStr">
        <is>
          <t>-</t>
        </is>
      </c>
      <c r="I8" s="42" t="inlineStr">
        <is>
          <t>1.admin登录获取会话 2.请求 /manager/bookServlet?action=page&amp;pageNo=1 3.对照组：不带Cookie访问同一URL</t>
        </is>
      </c>
      <c r="J8" s="42" t="inlineStr">
        <is>
          <t>管理员访问返回200，展示图书与分页导航；未登录访问被ManagerFilter拦截，响应为登录页而非管理内容</t>
        </is>
      </c>
      <c r="K8" s="42" t="inlineStr">
        <is>
          <t>OK</t>
        </is>
      </c>
      <c r="L8" s="42" t="inlineStr">
        <is>
          <t>通过</t>
        </is>
      </c>
      <c r="M8" s="42" t="inlineStr">
        <is>
          <t>场景法（含未登录对照组）。实测：登录后正常展示库中图书；未登录响应为登录表单（forward实现，HTTP 200但无管理内容）</t>
        </is>
      </c>
      <c r="N8" s="43" t="n"/>
    </row>
    <row r="9">
      <c r="A9" s="42" t="inlineStr">
        <is>
          <t>BS-IT-102</t>
        </is>
      </c>
      <c r="B9" s="42" t="inlineStr">
        <is>
          <t>M6 后台管理</t>
        </is>
      </c>
      <c r="C9" s="42" t="inlineStr">
        <is>
          <t>新增图书输入校验</t>
        </is>
      </c>
      <c r="D9" s="42" t="inlineStr">
        <is>
          <t>高</t>
        </is>
      </c>
      <c r="E9" s="42" t="inlineStr">
        <is>
          <t>是</t>
        </is>
      </c>
      <c r="F9" s="42" t="inlineStr">
        <is>
          <t>新增</t>
        </is>
      </c>
      <c r="G9" s="42" t="inlineStr">
        <is>
          <t>admin已登录；测试数据按作者标记CPTEST，测后清理</t>
        </is>
      </c>
      <c r="H9" s="42" t="inlineStr">
        <is>
          <t>name=丙测试书,price=35.50 / name=空 / price=-5 / price=abc</t>
        </is>
      </c>
      <c r="I9" s="42" t="inlineStr">
        <is>
          <t>1.依次POST /manager/bookServlet?action=add 2.每种输入后查库t_book验证</t>
        </is>
      </c>
      <c r="J9" s="42" t="inlineStr">
        <is>
          <t>合法数据入库；空书名、负价格、非数字价格应被服务端校验拒绝并给出提示</t>
        </is>
      </c>
      <c r="K9" s="42" t="inlineStr">
        <is>
          <t>NG</t>
        </is>
      </c>
      <c r="L9" s="42" t="inlineStr">
        <is>
          <t>不通过</t>
        </is>
      </c>
      <c r="M9" s="42" t="inlineStr">
        <is>
          <t>等价类法（合法值、空值、负值、类型非法值）。实测：四种输入全部直接入库——空书名以name=''入库；负价-5.00入库；price=abc时BeanUtils转换异常被吞掉后以NULL入库；全程无输入校验</t>
        </is>
      </c>
      <c r="N9" s="43" t="n"/>
    </row>
    <row r="10">
      <c r="A10" s="42" t="inlineStr">
        <is>
          <t>BS-IT-103</t>
        </is>
      </c>
      <c r="B10" s="42" t="inlineStr">
        <is>
          <t>M6 后台管理</t>
        </is>
      </c>
      <c r="C10" s="42" t="inlineStr">
        <is>
          <t>修改图书回显与更新</t>
        </is>
      </c>
      <c r="D10" s="42" t="inlineStr">
        <is>
          <t>中</t>
        </is>
      </c>
      <c r="E10" s="42" t="inlineStr">
        <is>
          <t>是</t>
        </is>
      </c>
      <c r="F10" s="42" t="inlineStr">
        <is>
          <t>新增</t>
        </is>
      </c>
      <c r="G10" s="42" t="inlineStr">
        <is>
          <t>admin已登录；id=2《边城》原价23.00</t>
        </is>
      </c>
      <c r="H10" s="42" t="inlineStr">
        <is>
          <t>price修改为99.99</t>
        </is>
      </c>
      <c r="I10" s="42" t="inlineStr">
        <is>
          <t>1.GET action=getBook&amp;id=2检查编辑页回显 2.POST action=update改价 3.查库验证 4.还原23.00</t>
        </is>
      </c>
      <c r="J10" s="42" t="inlineStr">
        <is>
          <t>编辑页表单value回显原书名《边城》；更新后库中price=99.99</t>
        </is>
      </c>
      <c r="K10" s="42" t="inlineStr">
        <is>
          <t>OK</t>
        </is>
      </c>
      <c r="L10" s="42" t="inlineStr">
        <is>
          <t>通过</t>
        </is>
      </c>
      <c r="M10" s="42" t="inlineStr">
        <is>
          <t>场景法（回显→更新→验证→还原）。实测：回显正确、更新生效、还原成功</t>
        </is>
      </c>
      <c r="N10" s="43" t="n"/>
    </row>
    <row r="11">
      <c r="A11" s="42" t="inlineStr">
        <is>
          <t>BS-IT-104</t>
        </is>
      </c>
      <c r="B11" s="42" t="inlineStr">
        <is>
          <t>M6 后台管理</t>
        </is>
      </c>
      <c r="C11" s="42" t="inlineStr">
        <is>
          <t>删除图书边界</t>
        </is>
      </c>
      <c r="D11" s="42" t="inlineStr">
        <is>
          <t>中</t>
        </is>
      </c>
      <c r="E11" s="42" t="inlineStr">
        <is>
          <t>是</t>
        </is>
      </c>
      <c r="F11" s="42" t="inlineStr">
        <is>
          <t>新增</t>
        </is>
      </c>
      <c r="G11" s="42" t="inlineStr">
        <is>
          <t>admin已登录；SQL造数一本待删书（作者CPDEL）</t>
        </is>
      </c>
      <c r="H11" s="42" t="inlineStr">
        <is>
          <t>id=存在 / 999999 / abc</t>
        </is>
      </c>
      <c r="I11" s="42" t="inlineStr">
        <is>
          <t>1.请求 action=delete&amp;id=X 2.验证库与响应</t>
        </is>
      </c>
      <c r="J11" s="42" t="inlineStr">
        <is>
          <t>存在的id删除成功且库中消失；不存在的id给出友好提示；非数字id不引发服务器500</t>
        </is>
      </c>
      <c r="K11" s="42" t="inlineStr">
        <is>
          <t>NG</t>
        </is>
      </c>
      <c r="L11" s="42" t="inlineStr">
        <is>
          <t>不通过</t>
        </is>
      </c>
      <c r="M11" s="42" t="inlineStr">
        <is>
          <t>边界值法（存在、极大不存在、类型非法）。实测：存在的id删除成功；id=999999静默跳回列表无任何提示；id=abc→HTTP 500（NumberFormatException未处理）</t>
        </is>
      </c>
      <c r="N11" s="43" t="n"/>
    </row>
    <row r="12">
      <c r="A12" s="42" t="inlineStr">
        <is>
          <t>BS-IT-105</t>
        </is>
      </c>
      <c r="B12" s="42" t="inlineStr">
        <is>
          <t>M6 后台管理</t>
        </is>
      </c>
      <c r="C12" s="42" t="inlineStr">
        <is>
          <t>用户管理新增与重复用户名</t>
        </is>
      </c>
      <c r="D12" s="42" t="inlineStr">
        <is>
          <t>高</t>
        </is>
      </c>
      <c r="E12" s="42" t="inlineStr">
        <is>
          <t>是</t>
        </is>
      </c>
      <c r="F12" s="42" t="inlineStr">
        <is>
          <t>新增</t>
        </is>
      </c>
      <c r="G12" s="42" t="inlineStr">
        <is>
          <t>admin已登录；库中已有admin用户；测试账号cp_test_01测后删除</t>
        </is>
      </c>
      <c r="H12" s="42" t="inlineStr">
        <is>
          <t>username=admin（重复）/ cp_test_01（新用户）</t>
        </is>
      </c>
      <c r="I12" s="42" t="inlineStr">
        <is>
          <t>1.POST /manager/UserServlet?action=add新增重复admin 2.新增cp_test_01 3.查库验证 4.删除还原</t>
        </is>
      </c>
      <c r="J12" s="42" t="inlineStr">
        <is>
          <t>重复用户名给出友好提示（不出现500错误页）；正常新增后用户数+1且可删除</t>
        </is>
      </c>
      <c r="K12" s="42" t="inlineStr">
        <is>
          <t>NG</t>
        </is>
      </c>
      <c r="L12" s="42" t="inlineStr">
        <is>
          <t>不通过</t>
        </is>
      </c>
      <c r="M12" s="42" t="inlineStr">
        <is>
          <t>等价类法+场景法。实测：重复用户名返回HTTP 500（Duplicate entry唯一约束冲突未捕获，Tomcat错误页）；正常新增与删除功能通过</t>
        </is>
      </c>
      <c r="N12" s="43" t="n"/>
    </row>
    <row r="13">
      <c r="A13" s="42" t="inlineStr">
        <is>
          <t>BS-IT-106</t>
        </is>
      </c>
      <c r="B13" s="42" t="inlineStr">
        <is>
          <t>M6 后台管理</t>
        </is>
      </c>
      <c r="C13" s="42" t="inlineStr">
        <is>
          <t>总账单对账与发货状态流转</t>
        </is>
      </c>
      <c r="D13" s="42" t="inlineStr">
        <is>
          <t>高</t>
        </is>
      </c>
      <c r="E13" s="42" t="inlineStr">
        <is>
          <t>是</t>
        </is>
      </c>
      <c r="F13" s="42" t="inlineStr">
        <is>
          <t>新增</t>
        </is>
      </c>
      <c r="G13" s="42" t="inlineStr">
        <is>
          <t>admin已登录；SQL造数临时订单CPTEST_ORDER_1（status=0），测后删除</t>
        </is>
      </c>
      <c r="H13" s="42" t="inlineStr">
        <is>
          <t>-</t>
        </is>
      </c>
      <c r="I13" s="42" t="inlineStr">
        <is>
          <t>1.请求 action=showTotal 2.页面四项统计与SQL直查库比对 3.请求 action=sendOrder&amp;orderId=CPTEST_ORDER_1 4.查库status</t>
        </is>
      </c>
      <c r="J13" s="42" t="inlineStr">
        <is>
          <t>用户总数/总订单数/销售本数/总收入与直查库结果一致；发货后订单status由0变为1</t>
        </is>
      </c>
      <c r="K13" s="42" t="inlineStr">
        <is>
          <t>OK</t>
        </is>
      </c>
      <c r="L13" s="42" t="inlineStr">
        <is>
          <t>通过</t>
        </is>
      </c>
      <c r="M13" s="42" t="inlineStr">
        <is>
          <t>场景法（对账+状态机验证）。实测：四项统计与库一致；发货后status=1。风险备注：总收入口径为SUM(price*sales)（销量×现价），图书价格事后修改会偏离订单实付金额</t>
        </is>
      </c>
      <c r="N13" s="43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3" t="n"/>
    </row>
    <row r="1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3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3" t="n"/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3" t="n"/>
    </row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3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3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3" t="n"/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3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3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3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3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3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3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3" t="n"/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3" t="n"/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3" t="n"/>
    </row>
    <row r="30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3" t="n"/>
    </row>
    <row r="3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3" t="n"/>
    </row>
    <row r="32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3" t="n"/>
    </row>
    <row r="3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3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3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3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3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3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3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2003-02-20T06:59:55Z</dcterms:created>
  <dcterms:modified xmlns:dcterms="http://purl.org/dc/terms/" xmlns:xsi="http://www.w3.org/2001/XMLSchema-instance" xsi:type="dcterms:W3CDTF">2026-09-14T16:49:07Z</dcterms:modified>
  <cp:lastModifiedBy>user</cp:lastModifiedBy>
  <cp:lastPrinted>2003-12-15T03:50:21Z</cp:lastPrinted>
</cp:coreProperties>
</file>