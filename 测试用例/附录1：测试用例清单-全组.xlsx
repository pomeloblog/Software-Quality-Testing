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00" windowWidth="12120" windowHeight="9000" tabRatio="600" firstSheet="0" activeTab="1" autoFilterDateGrouping="1"/>
  </bookViews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</sheets>
  <definedNames>
    <definedName name="Result">'Test Cases测试用例'!$N$2:$N$5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5">
    <font>
      <name val="Arial"/>
      <family val="2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i val="1"/>
      <color indexed="10"/>
      <sz val="11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2"/>
    </font>
    <font>
      <name val="Times New Roman"/>
      <family val="1"/>
      <b val="1"/>
      <sz val="18"/>
    </font>
    <font>
      <name val="Times New Roman"/>
      <family val="1"/>
      <sz val="11"/>
    </font>
    <font>
      <name val="Times New Roman"/>
      <family val="1"/>
      <i val="1"/>
      <color indexed="10"/>
      <sz val="11"/>
    </font>
    <font>
      <name val="Times New Roman"/>
      <family val="1"/>
      <color indexed="9"/>
      <sz val="12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color indexed="10"/>
      <sz val="12"/>
    </font>
  </fonts>
  <fills count="7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applyProtection="1" pivotButton="0" quotePrefix="0" xfId="0">
      <alignment horizontal="centerContinuous"/>
      <protection locked="0" hidden="0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applyProtection="1" pivotButton="0" quotePrefix="0" xfId="0">
      <alignment horizontal="centerContinuous"/>
      <protection locked="0" hidden="0"/>
    </xf>
    <xf numFmtId="49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/>
    </xf>
    <xf numFmtId="0" fontId="7" fillId="3" borderId="5" applyAlignment="1" applyProtection="1" pivotButton="0" quotePrefix="0" xfId="0">
      <alignment horizontal="centerContinuous"/>
      <protection locked="0" hidden="0"/>
    </xf>
    <xf numFmtId="0" fontId="7" fillId="3" borderId="6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7" fillId="6" borderId="0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applyProtection="1" pivotButton="0" quotePrefix="0" xfId="0">
      <alignment wrapText="1"/>
      <protection locked="0" hidden="0"/>
    </xf>
    <xf numFmtId="0" fontId="7" fillId="0" borderId="0" pivotButton="0" quotePrefix="0" xfId="0"/>
    <xf numFmtId="0" fontId="7" fillId="3" borderId="8" applyProtection="1" pivotButton="0" quotePrefix="0" xfId="0">
      <protection locked="0" hidden="0"/>
    </xf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164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1" fillId="2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7" fillId="5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5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xmlns:a="http://schemas.openxmlformats.org/drawingml/2006/main" w="2540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9525</colOff>
      <row>0</row>
      <rowOff>104775</rowOff>
    </from>
    <to>
      <col>4</col>
      <colOff>95250</colOff>
      <row>2</row>
      <rowOff>57150</rowOff>
    </to>
    <pic>
      <nvPicPr>
        <cNvPr id="2056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104775"/>
          <a:ext cx="2828925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28125" defaultRowHeight="15.6"/>
  <cols>
    <col width="1.6328125" customWidth="1" style="43" min="1" max="1"/>
    <col width="10.6328125" customWidth="1" style="43" min="2" max="13"/>
    <col width="7.6328125" customWidth="1" style="43" min="14" max="15"/>
    <col width="11.6328125" customWidth="1" style="43" min="16" max="16384"/>
  </cols>
  <sheetData>
    <row r="1" ht="9.9" customHeight="1"/>
    <row r="2" ht="23.4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" customHeight="1"/>
    <row r="6" ht="16.2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" customHeight="1">
      <c r="B7" s="9" t="inlineStr">
        <is>
          <t>Product Verion 产品版本</t>
        </is>
      </c>
      <c r="C7" s="9" t="n"/>
      <c r="D7" s="9" t="n"/>
      <c r="E7" s="11" t="inlineStr">
        <is>
          <t xml:space="preserve"> 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 xml:space="preserve"> </t>
        </is>
      </c>
      <c r="K7" s="11" t="n"/>
      <c r="L7" s="10" t="n"/>
    </row>
    <row r="8" ht="16.2" customHeight="1">
      <c r="B8" s="9" t="inlineStr">
        <is>
          <t>Project Name 项目名称</t>
        </is>
      </c>
      <c r="C8" s="9" t="inlineStr">
        <is>
          <t>网上书店系统</t>
        </is>
      </c>
      <c r="D8" s="9" t="n"/>
      <c r="E8" s="11" t="inlineStr">
        <is>
          <t xml:space="preserve"> </t>
        </is>
      </c>
      <c r="F8" s="11" t="n"/>
      <c r="G8" s="9" t="inlineStr">
        <is>
          <t>Project ID 项目ID</t>
        </is>
      </c>
      <c r="H8" s="9" t="n"/>
      <c r="I8" s="9" t="n"/>
      <c r="J8" s="11" t="inlineStr">
        <is>
          <t xml:space="preserve"> </t>
        </is>
      </c>
      <c r="K8" s="11" t="n"/>
      <c r="L8" s="10" t="n"/>
    </row>
    <row r="9" ht="16.2" customHeight="1">
      <c r="B9" s="9" t="inlineStr">
        <is>
          <t>Prepared by 拟制</t>
        </is>
      </c>
      <c r="C9" s="9" t="n"/>
      <c r="D9" s="9" t="n"/>
      <c r="E9" s="11" t="inlineStr">
        <is>
          <t xml:space="preserve"> </t>
        </is>
      </c>
      <c r="F9" s="11" t="n"/>
      <c r="G9" s="9" t="inlineStr">
        <is>
          <t>Date 日期</t>
        </is>
      </c>
      <c r="H9" s="9" t="n"/>
      <c r="I9" s="9" t="n"/>
      <c r="J9" s="11" t="inlineStr">
        <is>
          <t xml:space="preserve"> </t>
        </is>
      </c>
      <c r="K9" s="11" t="n"/>
      <c r="L9" s="10" t="n"/>
    </row>
    <row r="10" ht="16.2" customHeight="1">
      <c r="B10" s="9" t="inlineStr">
        <is>
          <t>Reviewed by 评审人</t>
        </is>
      </c>
      <c r="C10" s="9" t="n"/>
      <c r="D10" s="9" t="n"/>
      <c r="E10" s="11" t="inlineStr">
        <is>
          <t xml:space="preserve"> </t>
        </is>
      </c>
      <c r="F10" s="11" t="n"/>
      <c r="G10" s="9" t="inlineStr">
        <is>
          <t>Date 日期</t>
        </is>
      </c>
      <c r="H10" s="9" t="n"/>
      <c r="I10" s="9" t="n"/>
      <c r="J10" s="11" t="inlineStr">
        <is>
          <t xml:space="preserve"> </t>
        </is>
      </c>
      <c r="K10" s="11" t="n"/>
      <c r="L10" s="10" t="n"/>
    </row>
    <row r="11" ht="16.2" customHeight="1">
      <c r="B11" s="9" t="inlineStr">
        <is>
          <t>Approved by 批准</t>
        </is>
      </c>
      <c r="C11" s="9" t="n"/>
      <c r="D11" s="9" t="n"/>
      <c r="E11" s="11" t="inlineStr">
        <is>
          <t xml:space="preserve"> </t>
        </is>
      </c>
      <c r="F11" s="11" t="n"/>
      <c r="G11" s="9" t="inlineStr">
        <is>
          <t>Date 日期</t>
        </is>
      </c>
      <c r="H11" s="9" t="n"/>
      <c r="I11" s="9" t="n"/>
      <c r="J11" s="11" t="inlineStr">
        <is>
          <t xml:space="preserve"> </t>
        </is>
      </c>
      <c r="K11" s="11" t="n"/>
      <c r="L11" s="10" t="n"/>
    </row>
    <row r="12" ht="3.9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" customHeight="1">
      <c r="B13" s="9" t="inlineStr">
        <is>
          <t>Number of Test cases 测试用例数</t>
        </is>
      </c>
      <c r="C13" s="9" t="n"/>
      <c r="D13" s="9" t="n"/>
      <c r="E13" s="13">
        <f>65535-COUNTBLANK('Test Cases测试用例'!A:A)</f>
        <v/>
      </c>
      <c r="F13" s="10" t="n"/>
    </row>
    <row r="14" ht="3.9" customHeight="1">
      <c r="B14" s="12" t="n"/>
      <c r="C14" s="12" t="n"/>
      <c r="D14" s="12" t="n"/>
      <c r="E14" s="12" t="n"/>
    </row>
    <row r="15" ht="16.2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8.9" customHeight="1">
      <c r="B16" s="4" t="inlineStr">
        <is>
          <t>在此处概述本测试用例</t>
        </is>
      </c>
      <c r="C16" s="14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0" t="n"/>
    </row>
    <row r="17" ht="3.9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" customHeight="1">
      <c r="B20" s="57" t="inlineStr">
        <is>
          <t>yyyy.mm.dd</t>
        </is>
      </c>
      <c r="C20" s="18" t="inlineStr">
        <is>
          <t>1.00</t>
        </is>
      </c>
      <c r="D20" s="11" t="inlineStr">
        <is>
          <t>xxx</t>
        </is>
      </c>
      <c r="E20" s="11" t="inlineStr">
        <is>
          <t>initial 初稿完成</t>
        </is>
      </c>
      <c r="F20" s="11" t="n"/>
      <c r="G20" s="11" t="n"/>
      <c r="H20" s="11" t="n"/>
      <c r="I20" s="11" t="n"/>
      <c r="J20" s="11" t="n"/>
      <c r="K20" s="11" t="inlineStr">
        <is>
          <t>Name 作者名</t>
        </is>
      </c>
      <c r="L20" s="10" t="n"/>
    </row>
    <row r="21" ht="16.2" customHeight="1">
      <c r="B21" s="57" t="inlineStr">
        <is>
          <t>yyyy.mm.dd</t>
        </is>
      </c>
      <c r="C21" s="18" t="n">
        <v>1.01</v>
      </c>
      <c r="D21" s="11" t="inlineStr">
        <is>
          <t>xxx</t>
        </is>
      </c>
      <c r="E21" s="11" t="inlineStr">
        <is>
          <t>revised xxx 修改XXX Xxx Xxx ...</t>
        </is>
      </c>
      <c r="F21" s="11" t="n"/>
      <c r="G21" s="11" t="n"/>
      <c r="H21" s="11" t="n"/>
      <c r="I21" s="11" t="n"/>
      <c r="J21" s="11" t="n"/>
      <c r="K21" s="11" t="inlineStr">
        <is>
          <t>Name 作者名</t>
        </is>
      </c>
      <c r="L21" s="10" t="n"/>
    </row>
    <row r="22" ht="16.2" customHeight="1">
      <c r="B22" s="57" t="n"/>
      <c r="C22" s="18" t="n"/>
      <c r="D22" s="11" t="inlineStr">
        <is>
          <t>xxx</t>
        </is>
      </c>
      <c r="E22" s="11" t="inlineStr">
        <is>
          <t>revised xxx 修改XXX Xxx Xxx ...</t>
        </is>
      </c>
      <c r="F22" s="11" t="n"/>
      <c r="G22" s="11" t="n"/>
      <c r="H22" s="11" t="n"/>
      <c r="I22" s="11" t="n"/>
      <c r="J22" s="11" t="n"/>
      <c r="K22" s="11" t="inlineStr">
        <is>
          <t>Name 作者名</t>
        </is>
      </c>
      <c r="L22" s="10" t="n"/>
    </row>
    <row r="23" ht="16.2" customHeight="1">
      <c r="B23" s="57" t="inlineStr">
        <is>
          <t>yyyy.mm.dd</t>
        </is>
      </c>
      <c r="C23" s="18" t="n">
        <v>1.02</v>
      </c>
      <c r="D23" s="11" t="inlineStr">
        <is>
          <t>xxx</t>
        </is>
      </c>
      <c r="E23" s="11" t="inlineStr">
        <is>
          <t>revised xxx 修改XXX Xxx Xxx ...</t>
        </is>
      </c>
      <c r="F23" s="11" t="n"/>
      <c r="G23" s="11" t="n"/>
      <c r="H23" s="11" t="n"/>
      <c r="I23" s="11" t="n"/>
      <c r="J23" s="11" t="n"/>
      <c r="K23" s="11" t="inlineStr">
        <is>
          <t>Name 作者名</t>
        </is>
      </c>
      <c r="L23" s="10" t="n"/>
    </row>
    <row r="24" ht="16.2" customHeight="1">
      <c r="B24" s="57" t="inlineStr">
        <is>
          <t>……</t>
        </is>
      </c>
      <c r="C24" s="18" t="inlineStr">
        <is>
          <t>……</t>
        </is>
      </c>
      <c r="D24" s="58" t="inlineStr">
        <is>
          <t>……</t>
        </is>
      </c>
      <c r="E24" s="11" t="inlineStr">
        <is>
          <t>……</t>
        </is>
      </c>
      <c r="F24" s="11" t="n"/>
      <c r="G24" s="11" t="n"/>
      <c r="H24" s="11" t="n"/>
      <c r="I24" s="11" t="n"/>
      <c r="J24" s="11" t="n"/>
      <c r="K24" s="11" t="inlineStr">
        <is>
          <t>Name 作者名</t>
        </is>
      </c>
      <c r="L24" s="10" t="n"/>
    </row>
    <row r="25" ht="16.2" customHeight="1">
      <c r="B25" s="57" t="inlineStr">
        <is>
          <t>yyyy.mm.dd</t>
        </is>
      </c>
      <c r="C25" s="18" t="n">
        <v>2</v>
      </c>
      <c r="D25" s="11" t="inlineStr">
        <is>
          <t>xxx</t>
        </is>
      </c>
      <c r="E25" s="11" t="inlineStr">
        <is>
          <t>revised xxx 修改XXX Xxx Xxx ...</t>
        </is>
      </c>
      <c r="F25" s="11" t="n"/>
      <c r="G25" s="11" t="n"/>
      <c r="H25" s="11" t="n"/>
      <c r="I25" s="11" t="n"/>
      <c r="J25" s="11" t="n"/>
      <c r="K25" s="11" t="inlineStr">
        <is>
          <t>……</t>
        </is>
      </c>
      <c r="L25" s="10" t="n"/>
    </row>
    <row r="26" ht="3.9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&lt;T.M.B&amp;C.P.M&gt;</t>
        </is>
      </c>
      <c r="D29" s="11" t="n"/>
      <c r="E29" s="11" t="n"/>
      <c r="F29" s="11" t="n"/>
      <c r="G29" s="11" t="n"/>
      <c r="H29" s="11" t="n"/>
      <c r="I29" s="11" t="n"/>
      <c r="J29" s="57" t="inlineStr">
        <is>
          <t>yyyy.mm.dd</t>
        </is>
      </c>
      <c r="K29" s="57" t="n"/>
      <c r="L29" s="10" t="n"/>
    </row>
    <row r="30">
      <c r="B30" s="11" t="n">
        <v>2</v>
      </c>
      <c r="C30" s="11" t="inlineStr">
        <is>
          <t>&lt;Project Manager&gt;</t>
        </is>
      </c>
      <c r="D30" s="11" t="n"/>
      <c r="E30" s="11" t="n"/>
      <c r="F30" s="11" t="n"/>
      <c r="G30" s="11" t="n"/>
      <c r="H30" s="11" t="n"/>
      <c r="I30" s="11" t="n"/>
      <c r="J30" s="57" t="inlineStr">
        <is>
          <t>yyyy.mm.dd</t>
        </is>
      </c>
      <c r="K30" s="57" t="n"/>
      <c r="L30" s="10" t="n"/>
    </row>
    <row r="31">
      <c r="B31" s="11" t="n">
        <v>3</v>
      </c>
      <c r="C31" s="11" t="inlineStr">
        <is>
          <t>&lt;Team members&gt;</t>
        </is>
      </c>
      <c r="D31" s="11" t="n"/>
      <c r="E31" s="11" t="n"/>
      <c r="F31" s="11" t="n"/>
      <c r="G31" s="11" t="n"/>
      <c r="H31" s="11" t="n"/>
      <c r="I31" s="11" t="n"/>
      <c r="J31" s="57" t="inlineStr">
        <is>
          <t>yyyy.mm.dd</t>
        </is>
      </c>
      <c r="K31" s="57" t="n"/>
      <c r="L31" s="10" t="n"/>
    </row>
    <row r="32">
      <c r="B32" s="11" t="n">
        <v>4</v>
      </c>
      <c r="C32" s="11" t="inlineStr">
        <is>
          <t>&lt;Customer Representative&gt;</t>
        </is>
      </c>
      <c r="D32" s="11" t="n"/>
      <c r="E32" s="11" t="n"/>
      <c r="F32" s="11" t="n"/>
      <c r="G32" s="11" t="n"/>
      <c r="H32" s="11" t="n"/>
      <c r="I32" s="11" t="n"/>
      <c r="J32" s="57" t="inlineStr">
        <is>
          <t>yyyy.mm.dd</t>
        </is>
      </c>
      <c r="K32" s="57" t="n"/>
      <c r="L32" s="10" t="n"/>
    </row>
    <row r="33">
      <c r="B33" s="21" t="n">
        <v>5</v>
      </c>
      <c r="C33" s="22" t="inlineStr">
        <is>
          <t>&lt;Others&gt;</t>
        </is>
      </c>
      <c r="D33" s="22" t="n"/>
      <c r="E33" s="22" t="n"/>
      <c r="F33" s="22" t="n"/>
      <c r="G33" s="22" t="n"/>
      <c r="H33" s="22" t="n"/>
      <c r="I33" s="22" t="n"/>
      <c r="J33" s="59" t="inlineStr">
        <is>
          <t>yyyy.mm.dd</t>
        </is>
      </c>
      <c r="K33" s="60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61" t="n"/>
      <c r="K34" s="61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6"/>
    <row r="37" ht="15" customHeight="1">
      <c r="B37" s="62" t="inlineStr">
        <is>
          <t>测试结果分析</t>
        </is>
      </c>
      <c r="C37" s="63" t="n"/>
      <c r="D37" s="63" t="n"/>
      <c r="E37" s="64" t="n"/>
    </row>
    <row r="38" ht="16.2" customHeight="1">
      <c r="B38" s="28" t="inlineStr">
        <is>
          <t>OK项</t>
        </is>
      </c>
      <c r="C38" s="29">
        <f>IF($E$13=0,0,COUNTIF('Test Cases测试用例'!$L:$L,"=OK"))</f>
        <v/>
      </c>
      <c r="D38" s="28" t="inlineStr">
        <is>
          <t>OK率</t>
        </is>
      </c>
      <c r="E38" s="30">
        <f>IF(E13=0,0,C38/E13)</f>
        <v/>
      </c>
    </row>
    <row r="39" ht="16.2" customHeight="1">
      <c r="B39" s="28" t="inlineStr">
        <is>
          <t>POK项</t>
        </is>
      </c>
      <c r="C39" s="29">
        <f>IF($E$13=0,0,COUNTIF('Test Cases测试用例'!$L:$L,"=POK"))</f>
        <v/>
      </c>
      <c r="D39" s="28" t="inlineStr">
        <is>
          <t>POK率</t>
        </is>
      </c>
      <c r="E39" s="30">
        <f>IF(E13=0,0,C39/E13)</f>
        <v/>
      </c>
    </row>
    <row r="40" ht="16.2" customHeight="1">
      <c r="B40" s="28" t="inlineStr">
        <is>
          <t>NG项</t>
        </is>
      </c>
      <c r="C40" s="29">
        <f>IF($E$13=0,0,COUNTIF('Test Cases测试用例'!$L:$L,"=NG"))</f>
        <v/>
      </c>
      <c r="D40" s="28" t="inlineStr">
        <is>
          <t>NG率</t>
        </is>
      </c>
      <c r="E40" s="30">
        <f>IF(E13=0,0,C40/E13)</f>
        <v/>
      </c>
    </row>
    <row r="41" ht="16.2" customHeight="1">
      <c r="B41" s="31" t="inlineStr">
        <is>
          <t>NT项</t>
        </is>
      </c>
      <c r="C41" s="32">
        <f>IF($E$13=0,0,COUNTIF('Test Cases测试用例'!$L:$L,"=NT"))</f>
        <v/>
      </c>
      <c r="D41" s="31" t="inlineStr">
        <is>
          <t>NT率</t>
        </is>
      </c>
      <c r="E41" s="33">
        <f>IF(E13=0,0,C41/E13)</f>
        <v/>
      </c>
    </row>
    <row r="42" ht="3" customHeight="1">
      <c r="B42" s="34" t="n"/>
      <c r="C42" s="35" t="n"/>
      <c r="D42" s="36" t="n"/>
      <c r="E42" s="37" t="n"/>
    </row>
    <row r="43" ht="16.2" customHeight="1">
      <c r="B43" s="3" t="inlineStr">
        <is>
          <t>用例总个数</t>
        </is>
      </c>
      <c r="C43" s="65">
        <f>E13</f>
        <v/>
      </c>
      <c r="D43" s="66" t="n"/>
      <c r="E43" s="67" t="n"/>
    </row>
  </sheetData>
  <mergeCells count="2">
    <mergeCell ref="C43:E43"/>
    <mergeCell ref="B37:E37"/>
  </mergeCells>
  <pageMargins left="0.5" right="0.5" top="0.5" bottom="0.5" header="0" footer="0"/>
  <pageSetup orientation="portrait" paperSize="9" horizontalDpi="42949672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zoomScale="87" zoomScaleNormal="87" workbookViewId="0">
      <selection activeCell="B2" sqref="B2"/>
    </sheetView>
  </sheetViews>
  <sheetFormatPr baseColWidth="8" defaultColWidth="11.6328125" defaultRowHeight="15.6"/>
  <cols>
    <col width="13" customWidth="1" style="44" min="1" max="1"/>
    <col width="15" customWidth="1" style="44" min="2" max="2"/>
    <col width="24" customWidth="1" style="44" min="3" max="3"/>
    <col width="7" customWidth="1" style="44" min="4" max="4"/>
    <col hidden="1" width="7" customWidth="1" style="44" min="5" max="5"/>
    <col hidden="1" width="7" customWidth="1" style="44" min="6" max="6"/>
    <col width="26" customWidth="1" style="44" min="7" max="7"/>
    <col width="24" customWidth="1" style="44" min="8" max="8"/>
    <col width="30" customWidth="1" style="44" min="9" max="9"/>
    <col width="32" customWidth="1" style="44" min="10" max="10"/>
    <col width="7" customWidth="1" style="44" min="11" max="11"/>
    <col width="8" customWidth="1" style="44" min="12" max="12"/>
    <col width="44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38" t="inlineStr">
        <is>
          <t>Test Case ID 测试用例编号</t>
        </is>
      </c>
      <c r="B1" s="38" t="inlineStr">
        <is>
          <t>Test Item 测试项（即功能模块或函数）</t>
        </is>
      </c>
      <c r="C1" s="38" t="inlineStr">
        <is>
          <t>Test Case Title 测试用例标题</t>
        </is>
      </c>
      <c r="D1" s="38" t="inlineStr">
        <is>
          <t>Test Criticality重要级别</t>
        </is>
      </c>
      <c r="E1" s="50" t="inlineStr">
        <is>
          <t>是否自动用例</t>
        </is>
      </c>
      <c r="F1" s="50" t="inlineStr">
        <is>
          <t>是否新增修改用例</t>
        </is>
      </c>
      <c r="G1" s="38" t="inlineStr">
        <is>
          <t>Pre-condition 预置条件</t>
        </is>
      </c>
      <c r="H1" s="38" t="inlineStr">
        <is>
          <t>Input 输入</t>
        </is>
      </c>
      <c r="I1" s="38" t="inlineStr">
        <is>
          <t>Procedure 操作步骤</t>
        </is>
      </c>
      <c r="J1" s="38" t="inlineStr">
        <is>
          <t>Output 预期结果</t>
        </is>
      </c>
      <c r="K1" s="38" t="inlineStr">
        <is>
          <t>Result
实际结果</t>
        </is>
      </c>
      <c r="L1" s="38" t="inlineStr">
        <is>
          <t>Status
是否通过</t>
        </is>
      </c>
      <c r="M1" s="3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>
      <c r="A2" s="42" t="inlineStr">
        <is>
          <t>BS-IT-001</t>
        </is>
      </c>
      <c r="B2" s="42" t="inlineStr">
        <is>
          <t>M1 用户认证</t>
        </is>
      </c>
      <c r="C2" s="42" t="inlineStr">
        <is>
          <t>正确用户名和密码登录成功</t>
        </is>
      </c>
      <c r="D2" s="42" t="inlineStr">
        <is>
          <t>中</t>
        </is>
      </c>
      <c r="E2" s="42" t="inlineStr">
        <is>
          <t>是</t>
        </is>
      </c>
      <c r="F2" s="42" t="inlineStr">
        <is>
          <t>否</t>
        </is>
      </c>
      <c r="G2" s="42" t="inlineStr">
        <is>
          <t>数据库 t_user 中存在用户 admin/admin；应用已启动（http://localhost:8080/Book）</t>
        </is>
      </c>
      <c r="H2" s="42" t="inlineStr">
        <is>
          <t>username=admin, password=admin</t>
        </is>
      </c>
      <c r="I2" s="42" t="inlineStr">
        <is>
          <t>1. POST /Book/userServlet?action=login 提交用户名与密码
2. 观察响应页面与 session</t>
        </is>
      </c>
      <c r="J2" s="42" t="inlineStr">
        <is>
          <t>登录成功：转发到 login_success.jsp，session 中写入 user 对象，页面显示“登录成功”</t>
        </is>
      </c>
      <c r="K2" s="42" t="inlineStr">
        <is>
          <t>OK</t>
        </is>
      </c>
      <c r="L2" s="42" t="inlineStr">
        <is>
          <t>通过</t>
        </is>
      </c>
      <c r="M2" s="42" t="inlineStr">
        <is>
          <t>等价类（有效等价类）；实测：HTTP 200，页面显示“登录成功”</t>
        </is>
      </c>
      <c r="N2" s="43" t="inlineStr">
        <is>
          <t>OK</t>
        </is>
      </c>
    </row>
    <row r="3">
      <c r="A3" s="42" t="inlineStr">
        <is>
          <t>BS-IT-002</t>
        </is>
      </c>
      <c r="B3" s="42" t="inlineStr">
        <is>
          <t>M1 用户认证</t>
        </is>
      </c>
      <c r="C3" s="42" t="inlineStr">
        <is>
          <t>密码错误时登录失败</t>
        </is>
      </c>
      <c r="D3" s="42" t="inlineStr">
        <is>
          <t>高</t>
        </is>
      </c>
      <c r="E3" s="42" t="inlineStr">
        <is>
          <t>是</t>
        </is>
      </c>
      <c r="F3" s="42" t="inlineStr">
        <is>
          <t>否</t>
        </is>
      </c>
      <c r="G3" s="42" t="inlineStr">
        <is>
          <t>数据库存在用户 admin</t>
        </is>
      </c>
      <c r="H3" s="42" t="inlineStr">
        <is>
          <t>username=admin, password=wrongpwd</t>
        </is>
      </c>
      <c r="I3" s="42" t="inlineStr">
        <is>
          <t>1. POST /Book/userServlet?action=login，密码填错
2. 观察响应</t>
        </is>
      </c>
      <c r="J3" s="42" t="inlineStr">
        <is>
          <t>登录失败：提示“用户名或密码错误”，不写入 session</t>
        </is>
      </c>
      <c r="K3" s="42" t="inlineStr">
        <is>
          <t>OK</t>
        </is>
      </c>
      <c r="L3" s="42" t="inlineStr">
        <is>
          <t>通过</t>
        </is>
      </c>
      <c r="M3" s="42" t="inlineStr">
        <is>
          <t>等价类（无效等价类）；实测：HTTP 200，页面显示“用户名或密码错误”</t>
        </is>
      </c>
      <c r="N3" s="43" t="inlineStr">
        <is>
          <t>POK</t>
        </is>
      </c>
    </row>
    <row r="4">
      <c r="A4" s="42" t="inlineStr">
        <is>
          <t>BS-IT-003</t>
        </is>
      </c>
      <c r="B4" s="42" t="inlineStr">
        <is>
          <t>M1 用户认证</t>
        </is>
      </c>
      <c r="C4" s="42" t="inlineStr">
        <is>
          <t>用户名不存在时登录失败</t>
        </is>
      </c>
      <c r="D4" t="inlineStr">
        <is>
          <t>高</t>
        </is>
      </c>
      <c r="E4" s="42" t="inlineStr">
        <is>
          <t>是</t>
        </is>
      </c>
      <c r="F4" s="42" t="inlineStr">
        <is>
          <t>否</t>
        </is>
      </c>
      <c r="G4" s="42" t="inlineStr">
        <is>
          <t>数据库不存在用户 nobody</t>
        </is>
      </c>
      <c r="H4" s="42" t="inlineStr">
        <is>
          <t>username=nobody, password=xxx</t>
        </is>
      </c>
      <c r="I4" s="42" t="inlineStr">
        <is>
          <t>1. POST /Book/userServlet?action=login，用不存在的用户名
2. 观察响应</t>
        </is>
      </c>
      <c r="J4" s="42" t="inlineStr">
        <is>
          <t>登录失败：提示“用户名或密码错误”</t>
        </is>
      </c>
      <c r="K4" s="42" t="inlineStr">
        <is>
          <t>OK</t>
        </is>
      </c>
      <c r="L4" s="42" t="inlineStr">
        <is>
          <t>通过</t>
        </is>
      </c>
      <c r="M4" s="42" t="inlineStr">
        <is>
          <t>等价类（无效等价类）；实测：HTTP 200，页面显示“用户名或密码错误”</t>
        </is>
      </c>
      <c r="N4" s="43" t="inlineStr">
        <is>
          <t>NG</t>
        </is>
      </c>
    </row>
    <row r="5">
      <c r="A5" s="42" t="inlineStr">
        <is>
          <t>BS-IT-004</t>
        </is>
      </c>
      <c r="B5" s="42" t="inlineStr">
        <is>
          <t>M1 用户认证</t>
        </is>
      </c>
      <c r="C5" s="42" t="inlineStr">
        <is>
          <t>【缺陷】登录请求不携带验证码仍可登录</t>
        </is>
      </c>
      <c r="D5" s="42" t="inlineStr">
        <is>
          <t>高</t>
        </is>
      </c>
      <c r="E5" s="42" t="inlineStr">
        <is>
          <t>是</t>
        </is>
      </c>
      <c r="F5" s="42" t="inlineStr">
        <is>
          <t>否</t>
        </is>
      </c>
      <c r="G5" s="42" t="inlineStr">
        <is>
          <t>数据库存在 admin；未访问过 /kaptcha.jpg（session 中无验证码）</t>
        </is>
      </c>
      <c r="H5" s="42" t="inlineStr">
        <is>
          <t>username=admin, password=admin，且不传 code 参数</t>
        </is>
      </c>
      <c r="I5" s="42" t="inlineStr">
        <is>
          <t>1. 直接 POST /Book/userServlet?action=login，完全不提交验证码
2. 观察是否登录成功</t>
        </is>
      </c>
      <c r="J5" s="42" t="inlineStr">
        <is>
          <t>应提示验证码错误并拒绝登录（登录必须校验验证码）</t>
        </is>
      </c>
      <c r="K5" s="42" t="inlineStr">
        <is>
          <t>NG</t>
        </is>
      </c>
      <c r="L5" s="42" t="inlineStr">
        <is>
          <t>不通过</t>
        </is>
      </c>
      <c r="M5" s="42" t="inlineStr">
        <is>
          <t>场景法；实测：HTTP 200 且直接“登录成功”——验证码形同虚设，可被绕过做暴力破解</t>
        </is>
      </c>
      <c r="N5" s="43" t="inlineStr">
        <is>
          <t>NT</t>
        </is>
      </c>
    </row>
    <row r="6">
      <c r="A6" s="42" t="inlineStr">
        <is>
          <t>BS-IT-005</t>
        </is>
      </c>
      <c r="B6" s="42" t="inlineStr">
        <is>
          <t>M1 用户认证</t>
        </is>
      </c>
      <c r="C6" s="42" t="inlineStr">
        <is>
          <t>注册时验证码缺失被拒绝且不落库</t>
        </is>
      </c>
      <c r="D6" s="42" t="inlineStr">
        <is>
          <t>高</t>
        </is>
      </c>
      <c r="E6" s="42" t="inlineStr">
        <is>
          <t>是</t>
        </is>
      </c>
      <c r="F6" s="42" t="inlineStr">
        <is>
          <t>否</t>
        </is>
      </c>
      <c r="G6" s="42" t="inlineStr">
        <is>
          <t>数据库不存在用户 probe01；未获取验证码</t>
        </is>
      </c>
      <c r="H6" s="42" t="inlineStr">
        <is>
          <t>username=probe01, password=123456, email=a@b.com，不传 code</t>
        </is>
      </c>
      <c r="I6" s="42" t="inlineStr">
        <is>
          <t>1. POST /Book/userServlet?action=regist，不提交验证码
2. 查询数据库 t_user 是否新增 probe01</t>
        </is>
      </c>
      <c r="J6" s="42" t="inlineStr">
        <is>
          <t>注册被拒绝，提示“验证码错误！”，数据库不新增用户</t>
        </is>
      </c>
      <c r="K6" s="42" t="inlineStr">
        <is>
          <t>OK</t>
        </is>
      </c>
      <c r="L6" s="42" t="inlineStr">
        <is>
          <t>通过</t>
        </is>
      </c>
      <c r="M6" s="42" t="inlineStr">
        <is>
          <t>场景法；实测：HTTP 200 返回注册页；数据库查询 t_user 无 probe01（已确认仅 admin 一条）</t>
        </is>
      </c>
      <c r="N6" s="43" t="n"/>
    </row>
    <row r="7">
      <c r="A7" s="42" t="inlineStr">
        <is>
          <t>BS-UT-006</t>
        </is>
      </c>
      <c r="B7" s="42" t="inlineStr">
        <is>
          <t>M1 用户认证</t>
        </is>
      </c>
      <c r="C7" s="42" t="inlineStr">
        <is>
          <t>【缺陷】注册时两次密码不一致仍可注册成功</t>
        </is>
      </c>
      <c r="D7" s="42" t="inlineStr">
        <is>
          <t>中</t>
        </is>
      </c>
      <c r="E7" s="42" t="inlineStr">
        <is>
          <t>是</t>
        </is>
      </c>
      <c r="F7" s="42" t="inlineStr">
        <is>
          <t>否</t>
        </is>
      </c>
      <c r="G7" s="42" t="inlineStr">
        <is>
          <t>用 Stub 向 session 注入正确验证码；数据库不存在用户 repwd01</t>
        </is>
      </c>
      <c r="H7" s="42" t="inlineStr">
        <is>
          <t>username=repwd01, password=123456, repwd=654321（两次密码故意不一致）</t>
        </is>
      </c>
      <c r="I7" s="42" t="inlineStr">
        <is>
          <t>1. 单元测试中以 HttpServletRequest 动态代理 Stub 注入验证码 token
2. 调用 UserServlet.regist()
3. 检查数据库是否新增 repwd01</t>
        </is>
      </c>
      <c r="J7" s="42" t="inlineStr">
        <is>
          <t>应校验两次密码一致性，不一致则拒绝注册并提示</t>
        </is>
      </c>
      <c r="K7" s="42" t="inlineStr">
        <is>
          <t>NG</t>
        </is>
      </c>
      <c r="L7" s="42" t="inlineStr">
        <is>
          <t>不通过</t>
        </is>
      </c>
      <c r="M7" s="42" t="inlineStr">
        <is>
          <t>等价类（无效等价类）+ Stub 打桩；实测：UserServlet.regist() 第 96 行虽取出 repwd，但全程无 password.equals(repwd) 校验；两次密码不同也能注册成功（属密码确认机制缺失）</t>
        </is>
      </c>
      <c r="N7" s="43" t="n"/>
    </row>
    <row r="8">
      <c r="A8" s="42" t="inlineStr">
        <is>
          <t>BS-IT-007</t>
        </is>
      </c>
      <c r="B8" s="42" t="inlineStr">
        <is>
          <t>M1 用户认证</t>
        </is>
      </c>
      <c r="C8" s="42" t="inlineStr">
        <is>
          <t>用户名查重接口返回值正确</t>
        </is>
      </c>
      <c r="D8" s="42" t="inlineStr">
        <is>
          <t>低</t>
        </is>
      </c>
      <c r="E8" s="42" t="inlineStr">
        <is>
          <t>是</t>
        </is>
      </c>
      <c r="F8" s="42" t="inlineStr">
        <is>
          <t>否</t>
        </is>
      </c>
      <c r="G8" s="42" t="inlineStr">
        <is>
          <t>数据库存在 admin，不存在 notexist_xyz</t>
        </is>
      </c>
      <c r="H8" s="42" t="inlineStr">
        <is>
          <t>username=admin / username=notexist_xyz</t>
        </is>
      </c>
      <c r="I8" s="42" t="inlineStr">
        <is>
          <t>1. GET /Book/userServlet?action=ajaxExistsusername&amp;username=admin
2. GET ...&amp;username=notexist_xyz
3. 检查返回 JSON</t>
        </is>
      </c>
      <c r="J8" s="42" t="inlineStr">
        <is>
          <t>已存在返回 {"exitsUsername":true}；不存在返回 {"exitsUsername":false}</t>
        </is>
      </c>
      <c r="K8" s="42" t="inlineStr">
        <is>
          <t>OK</t>
        </is>
      </c>
      <c r="L8" s="42" t="inlineStr">
        <is>
          <t>通过</t>
        </is>
      </c>
      <c r="M8" s="42" t="inlineStr">
        <is>
          <t>等价类；实测：分别返回 {"exitsUsername":true} 与 {"exitsUsername":false}</t>
        </is>
      </c>
      <c r="N8" s="43" t="n"/>
    </row>
    <row r="9">
      <c r="A9" s="42" t="inlineStr">
        <is>
          <t>BS1-IT-007</t>
        </is>
      </c>
      <c r="B9" s="42" t="inlineStr">
        <is>
          <t>M2 权限控制</t>
        </is>
      </c>
      <c r="C9" s="42" t="inlineStr">
        <is>
          <t>游客访问后台受保护资源被拦截</t>
        </is>
      </c>
      <c r="D9" s="42" t="inlineStr">
        <is>
          <t>高</t>
        </is>
      </c>
      <c r="E9" s="42" t="inlineStr">
        <is>
          <t>是</t>
        </is>
      </c>
      <c r="F9" s="42" t="inlineStr">
        <is>
          <t>新增</t>
        </is>
      </c>
      <c r="G9" s="42" t="inlineStr">
        <is>
          <t>浏览器从未登录，不携带任何 Cookie（无 Session）。
测试数据：admin / admin（后续对照用）</t>
        </is>
      </c>
      <c r="H9" s="42" t="inlineStr">
        <is>
          <t>① GET /Book/pages/manager/book_manager.jsp
② GET /Book/manager/bookServlet?action=page&amp;pageNo=1</t>
        </is>
      </c>
      <c r="I9" s="42" t="inlineStr">
        <is>
          <t>1. 新建不带任何 Cookie 的 HTTP 会话；
2. 访问受保护的后台页面路径 /pages/manager/book_manager.jsp；
3. 访问受保护的后台接口路径 /manager/bookServlet?action=page&amp;pageNo=1；
4. 检查两个响应是否为登录页、是否含图书管理页面内容。</t>
        </is>
      </c>
      <c r="J9" s="42" t="inlineStr">
        <is>
          <t>两个请求都被 ManagerFilter 判定 user == null 并转发到 /pages/user/login.jsp；
响应为 HTTP 200 且页面标题为「登录页面」，不含「图书管理」页面内容。</t>
        </is>
      </c>
      <c r="K9" s="42" t="inlineStr">
        <is>
          <t>OK</t>
        </is>
      </c>
      <c r="L9" s="42" t="inlineStr">
        <is>
          <t>通过</t>
        </is>
      </c>
      <c r="M9" s="42" t="inlineStr">
        <is>
          <t>等价类划分（无效等价类：未登录）+ 场景法。
web.xml 中 ManagerFilter 有两条 url-pattern（/pages/manager/* 与 /manager/bookServlet），两条路径都被覆盖，避免只测一条就下结论。；实测：两个请求均转发到登录页，页面特征为 &lt;title&gt;登录页面&lt;/title&gt;，未出现图书管理页面内容。</t>
        </is>
      </c>
      <c r="N9" s="43" t="n"/>
    </row>
    <row r="10">
      <c r="A10" s="42" t="inlineStr">
        <is>
          <t>BS1-IT-008</t>
        </is>
      </c>
      <c r="B10" s="42" t="inlineStr">
        <is>
          <t>M2 权限控制</t>
        </is>
      </c>
      <c r="C10" s="42" t="inlineStr">
        <is>
          <t>普通用户访问后台受保护资源被拒绝</t>
        </is>
      </c>
      <c r="D10" s="42" t="inlineStr">
        <is>
          <t>高</t>
        </is>
      </c>
      <c r="E10" s="42" t="inlineStr">
        <is>
          <t>是</t>
        </is>
      </c>
      <c r="F10" s="42" t="inlineStr">
        <is>
          <t>新增</t>
        </is>
      </c>
      <c r="G10" s="42" t="inlineStr">
        <is>
          <t>以普通用户 zzT_normal / zzT12345 登录成功，Session 中 user.username = zzT_normal。
测试数据：zzT_normal / zzT12345</t>
        </is>
      </c>
      <c r="H10" s="42" t="inlineStr">
        <is>
          <t>① GET /Book/pages/manager/book_manager.jsp
② GET /Book/manager/bookServlet?action=page&amp;pageNo=1</t>
        </is>
      </c>
      <c r="I10" s="42" t="inlineStr">
        <is>
          <t>1. 用普通账号登录并保持 Cookie；
2. 访问 /pages/manager/book_manager.jsp；
3. 访问 /manager/bookServlet?action=page&amp;pageNo=1；
4. 检查响应是否出现无权限提示、是否含图书管理页面内容。</t>
        </is>
      </c>
      <c r="J10" s="42" t="inlineStr">
        <is>
          <t>两个请求都进入 ManagerFilter 的第二个分支，转发到 /pages/error/errorManager.jsp；
HTTP 200，页面出现「亲，你没有管理员权限哦！」，不含「图书管理」页面内容。</t>
        </is>
      </c>
      <c r="K10" s="42" t="inlineStr">
        <is>
          <t>OK</t>
        </is>
      </c>
      <c r="L10" s="42" t="inlineStr">
        <is>
          <t>通过</t>
        </is>
      </c>
      <c r="M10" s="42" t="inlineStr">
        <is>
          <t>等价类划分（无效等价类：已登录但非管理员）。
与 BS1-IT-007 共同构成「未登录 / 已登录非管理员」两个无效等价类。；实测：两个请求均转发到无权限页面，命中提示文案「亲，你没有管理员权限哦！」，未出现图书管理页面内容。</t>
        </is>
      </c>
      <c r="N10" s="43" t="n"/>
    </row>
    <row r="11">
      <c r="A11" s="42" t="inlineStr">
        <is>
          <t>BS1-IT-009</t>
        </is>
      </c>
      <c r="B11" s="42" t="inlineStr">
        <is>
          <t>M2 权限控制</t>
        </is>
      </c>
      <c r="C11" s="42" t="inlineStr">
        <is>
          <t>管理员访问后台接口正常放行</t>
        </is>
      </c>
      <c r="D11" s="42" t="inlineStr">
        <is>
          <t>高</t>
        </is>
      </c>
      <c r="E11" s="42" t="inlineStr">
        <is>
          <t>是</t>
        </is>
      </c>
      <c r="F11" s="42" t="inlineStr">
        <is>
          <t>新增</t>
        </is>
      </c>
      <c r="G11" s="42" t="inlineStr">
        <is>
          <t>以管理员 admin / admin 登录成功。
测试数据：admin / admin</t>
        </is>
      </c>
      <c r="H11" s="42" t="inlineStr">
        <is>
          <t>GET /Book/manager/bookServlet?action=page&amp;pageNo=1
（后台菜单「图书管理」的真实入口，也在 ManagerFilter 映射范围内）</t>
        </is>
      </c>
      <c r="I11" s="42" t="inlineStr">
        <is>
          <t>1. 用管理员账号登录并保持 Cookie；
2. 访问后台图书管理入口 /manager/bookServlet?action=page&amp;pageNo=1；
3. 检查 HTTP 状态码、页面标题，以及是否出现无权限提示。</t>
        </is>
      </c>
      <c r="J11" s="42" t="inlineStr">
        <is>
          <t>ManagerFilter 走 filterChain.doFilter() 放行；BookServlet.page() 查得分页数据后转发到 book_manager.jsp；
HTTP 200，页面标题为「图书管理」，不出现无权限提示。</t>
        </is>
      </c>
      <c r="K11" s="42" t="inlineStr">
        <is>
          <t>OK</t>
        </is>
      </c>
      <c r="L11" s="42" t="inlineStr">
        <is>
          <t>通过</t>
        </is>
      </c>
      <c r="M11" s="42" t="inlineStr">
        <is>
          <t>等价类划分（有效等价类：管理员），作为 007、008 的对照，证明过滤器并非「一律拦截」。
刻意不直连 /pages/manager/book_manager.jsp：直连时 request 域无 page 对象，page_nav.jsp 分页标签会抛 JspTagException: 'begin' &lt; 0 导致 500，该问题已单列为缺陷 D8，不混入本用例结论。；实测：HTTP 200，页面特征为 &lt;title&gt;图书管理&lt;/title&gt;，未出现无权限提示。</t>
        </is>
      </c>
      <c r="N11" s="43" t="n"/>
    </row>
    <row r="12">
      <c r="A12" s="42" t="inlineStr">
        <is>
          <t>BS1-IT-010</t>
        </is>
      </c>
      <c r="B12" s="42" t="inlineStr">
        <is>
          <t>M2 权限控制</t>
        </is>
      </c>
      <c r="C12" s="42" t="inlineStr">
        <is>
          <t>普通用户越权访问用户管理接口</t>
        </is>
      </c>
      <c r="D12" s="42" t="inlineStr">
        <is>
          <t>高</t>
        </is>
      </c>
      <c r="E12" s="42" t="inlineStr">
        <is>
          <t>是</t>
        </is>
      </c>
      <c r="F12" s="42" t="inlineStr">
        <is>
          <t>新增</t>
        </is>
      </c>
      <c r="G12" s="42" t="inlineStr">
        <is>
          <t>以普通用户 zzT_normal 登录；基线数据中存在一次性用户 zzT_delete_me。
测试数据：zzT_normal / zzT12345、zzT_delete_me / zzT12345</t>
        </is>
      </c>
      <c r="H12" s="42" t="inlineStr">
        <is>
          <t>① GET /Book/manager/UserServlet?action=page&amp;pageNo=1
② GET /Book/manager/UserServlet?action=getUser&amp;id={zzT_delete_me 的 id}
③ GET /Book/manager/UserServlet?action=delete&amp;id={zzT_delete_me 的 id}&amp;pageNo=1</t>
        </is>
      </c>
      <c r="I12" s="42" t="inlineStr">
        <is>
          <t>1. 用普通账号登录；
2. 访问用户管理列表接口 action=page；
3. 访问他人用户详情接口 action=getUser；
4. 访问删除用户接口 action=delete；
5. 回查数据库确认 zzT_delete_me 是否仍存在。</t>
        </is>
      </c>
      <c r="J12" s="42" t="inlineStr">
        <is>
          <t>三个请求都应被拒绝（转发登录页或提示无管理员权限），用户数据不被改动。</t>
        </is>
      </c>
      <c r="K12" s="42" t="inlineStr">
        <is>
          <t>OK</t>
        </is>
      </c>
      <c r="L12" s="42" t="inlineStr">
        <is>
          <t>通过</t>
        </is>
      </c>
      <c r="M12" s="42" t="inlineStr">
        <is>
          <t>场景法（缺陷探测）。对应缺陷 D1。
根因：web.xml 中 ManagerFilter 未映射 /manager/UserServlet，且 ManagerUserServlet 的 add/delete/update/getUser/list/page 六个方法内部均无 Session 与管理员校验。
破坏性最强的一条：越权读取（含明文密码）+ 越权写入（删除用户）完整链路可用。；实测：（缺陷 BS1-DEF-001 修复后复测，2026-09-14）。
【首轮 NG】三个请求全部成功：① action=page 返回用户管理页面（&lt;title&gt;用户管理&lt;/title&gt;），可读取全部用户，页面含明文密码列；② action=getUser&amp;id=19 返回他人用户详情编辑页；③ action=delete&amp;id=19 返回 HTTP 302，zzT_delete_me 被真实删除。
【修复后】三个请求均在进入 Servlet 之前被 ManagerFilter 拦截（url-pattern 已由逐个列举改为 /manager/* 整体覆盖），转发到登录页或无管理员权限页，不再返回用户管理页面；回查数据库 zzT_delete_me 仍然存在，未被删除。
证据原文见 test-results/module1-m2-m5-*.csv 中 BS1-IT-010 行（195449 为修复前，210221 为修复后）。</t>
        </is>
      </c>
      <c r="N12" s="43" t="n"/>
    </row>
    <row r="13">
      <c r="A13" s="42" t="inlineStr">
        <is>
          <t>BS1-IT-011</t>
        </is>
      </c>
      <c r="B13" s="42" t="inlineStr">
        <is>
          <t>M2 权限控制</t>
        </is>
      </c>
      <c r="C13" s="42" t="inlineStr">
        <is>
          <t>未授权访问订单管理接口并修改订单状态</t>
        </is>
      </c>
      <c r="D13" s="42" t="inlineStr">
        <is>
          <t>高</t>
        </is>
      </c>
      <c r="E13" s="42" t="inlineStr">
        <is>
          <t>是</t>
        </is>
      </c>
      <c r="F13" s="42" t="inlineStr">
        <is>
          <t>新增</t>
        </is>
      </c>
      <c r="G13" s="42" t="inlineStr">
        <is>
          <t>基线订单 zzT_order_send 的 status = 0（未发货），归属 zzT_normal。
测试数据：zzT_order_send、zzT_normal / zzT12345</t>
        </is>
      </c>
      <c r="H13" s="42" t="inlineStr">
        <is>
          <t>① 游客（无 Cookie）GET /Book/manager/orderServlet?action=sendOrder&amp;orderId=zzT_order_send
② 普通用户 zzT_normal 的 GET /Book/manager/orderServlet?action=orders</t>
        </is>
      </c>
      <c r="I13" s="42" t="inlineStr">
        <is>
          <t>1. 不带任何 Cookie 直接请求发货接口；
2. 回查数据库确认订单 status；
3. 用普通账号登录后访问全部订单接口；
4. 检查响应是否为订单管理页面。</t>
        </is>
      </c>
      <c r="J13" s="42" t="inlineStr">
        <is>
          <t>① 未登录请求应被拒绝，订单状态保持 0；
② 只有管理员能查看全部订单，普通用户应被拒绝。</t>
        </is>
      </c>
      <c r="K13" s="42" t="inlineStr">
        <is>
          <t>OK</t>
        </is>
      </c>
      <c r="L13" s="42" t="inlineStr">
        <is>
          <t>通过</t>
        </is>
      </c>
      <c r="M13" s="42" t="inlineStr">
        <is>
          <t>场景法（缺陷探测）。对应缺陷 D2、D3。
根因：ManagerFilter 未映射 /manager/orderServlet；sendOrder() 内部无登录与管理员校验；orders() 只判断是否登录、不判断是否管理员；BaseServlet.doGet() 直接转发 doPost()，导致修改类操作可被一条 GET 链接触发。
本用例会把订单状态改掉，因此依赖基线脚本复位。；实测：（缺陷 BS1-DEF-002、BS1-DEF-003 修复后复测，2026-09-14）。
【首轮 NG】① 未登录的 GET 请求成功把订单 zzT_order_send 的状态从 0 改成 1（越权修改，且修改类操作可被 GET 触发）；② 普通用户通过 GET action=orders 拿到了订单管理页面（&lt;title&gt;订单管理&lt;/title&gt;），看到全部订单。
【修复后】① 未登录请求被 /manager/* 过滤器拦截并转发登录页，回查数据库订单状态保持 0；② 普通用户访问 action=orders 得到无权限提示页，不再返回订单管理页面。
证据原文见 test-results/module1-m2-m5-*.csv 中 BS1-IT-011 行（195449 为修复前，210221 为修复后）。</t>
        </is>
      </c>
      <c r="N13" s="43" t="n"/>
    </row>
    <row r="14">
      <c r="A14" s="42" t="inlineStr">
        <is>
          <t>BS-IT-041</t>
        </is>
      </c>
      <c r="B14" s="42" t="inlineStr">
        <is>
          <t>M3 图书浏览与检索</t>
        </is>
      </c>
      <c r="C14" s="42" t="inlineStr">
        <is>
          <t>首页分页pageNo边界容错</t>
        </is>
      </c>
      <c r="D14" s="42" t="inlineStr">
        <is>
          <t>高</t>
        </is>
      </c>
      <c r="E14" s="42" t="inlineStr">
        <is>
          <t>是</t>
        </is>
      </c>
      <c r="F14" s="42" t="inlineStr">
        <is>
          <t>新增</t>
        </is>
      </c>
      <c r="G14" s="42" t="inlineStr">
        <is>
          <t>系统运行中；图书库29本（每页4条共8页）</t>
        </is>
      </c>
      <c r="H14" s="42" t="inlineStr">
        <is>
          <t>pageNo=1 / 0 / -1 / 99999 / abc</t>
        </is>
      </c>
      <c r="I14" s="42" t="inlineStr">
        <is>
          <t>1.依次请求 /Book/client/bookServlet?action=page&amp;pageNo=X 2.检查HTTP状态码 3.统计页面展示图书条数</t>
        </is>
      </c>
      <c r="J14" s="42" t="inlineStr">
        <is>
          <t>pageNo=1显示4本；0和-1回退到第1页；99999回退到末页（第8页，1本）；非数字取默认值1；全部返回HTTP 200</t>
        </is>
      </c>
      <c r="K14" s="42" t="inlineStr">
        <is>
          <t>OK</t>
        </is>
      </c>
      <c r="L14" s="42" t="inlineStr">
        <is>
          <t>通过</t>
        </is>
      </c>
      <c r="M14" s="42" t="inlineStr">
        <is>
          <t>边界值法（合法值、上/下越界、非法值）。实测：全部容错正确，无服务器错误</t>
        </is>
      </c>
      <c r="N14" s="43" t="n"/>
    </row>
    <row r="15">
      <c r="A15" s="42" t="inlineStr">
        <is>
          <t>BS-IT-042</t>
        </is>
      </c>
      <c r="B15" s="42" t="inlineStr">
        <is>
          <t>M3 图书浏览与检索</t>
        </is>
      </c>
      <c r="C15" s="42" t="inlineStr">
        <is>
          <t>分页pageSize边界</t>
        </is>
      </c>
      <c r="D15" s="42" t="inlineStr">
        <is>
          <t>高</t>
        </is>
      </c>
      <c r="E15" s="42" t="inlineStr">
        <is>
          <t>是</t>
        </is>
      </c>
      <c r="F15" s="42" t="inlineStr">
        <is>
          <t>新增</t>
        </is>
      </c>
      <c r="G15" s="42" t="inlineStr">
        <is>
          <t>同041</t>
        </is>
      </c>
      <c r="H15" s="42" t="inlineStr">
        <is>
          <t>pageSize=6 / abc / 0 / -1</t>
        </is>
      </c>
      <c r="I15" s="42" t="inlineStr">
        <is>
          <t>1.依次请求 action=page&amp;pageNo=1&amp;pageSize=X 2.检查HTTP状态码与返回条数</t>
        </is>
      </c>
      <c r="J15" s="42" t="inlineStr">
        <is>
          <t>合法值6返回6本；非数字容错为默认4；0和-1容错为默认4，均不应出现服务器500错误</t>
        </is>
      </c>
      <c r="K15" s="42" t="inlineStr">
        <is>
          <t>NG</t>
        </is>
      </c>
      <c r="L15" s="42" t="inlineStr">
        <is>
          <t>不通过</t>
        </is>
      </c>
      <c r="M15" s="42" t="inlineStr">
        <is>
          <t>边界值法（0点、负值、非法值）。实测：pageSize=0→HTTP 500（pageTotalCount%pageSize除零ArithmeticException）；pageSize=-1→HTTP 500（LIMIT负数SQL错误）；6与abc正常</t>
        </is>
      </c>
      <c r="N15" s="43" t="n"/>
    </row>
    <row r="16">
      <c r="A16" s="42" t="inlineStr">
        <is>
          <t>BS-IT-043</t>
        </is>
      </c>
      <c r="B16" s="42" t="inlineStr">
        <is>
          <t>M3 图书浏览与检索</t>
        </is>
      </c>
      <c r="C16" s="42" t="inlineStr">
        <is>
          <t>书名/作者搜索等价类</t>
        </is>
      </c>
      <c r="D16" s="42" t="inlineStr">
        <is>
          <t>高</t>
        </is>
      </c>
      <c r="E16" s="42" t="inlineStr">
        <is>
          <t>是</t>
        </is>
      </c>
      <c r="F16" s="42" t="inlineStr">
        <is>
          <t>新增</t>
        </is>
      </c>
      <c r="G16" s="42" t="inlineStr">
        <is>
          <t>同041；库中有《三体》（刘慈欣）、《解忧杂货店》（东野圭吾）</t>
        </is>
      </c>
      <c r="H16" s="42" t="inlineStr">
        <is>
          <t>nameorauthor=三体 / 东野圭吾 / zzz不存在zzz / ' or 1=1 --</t>
        </is>
      </c>
      <c r="I16" s="42" t="inlineStr">
        <is>
          <t>1.依次请求 action=pageByNameOrAuthor&amp;nameorauthor=X 2.检查命中图书与HTTP状态</t>
        </is>
      </c>
      <c r="J16" s="42" t="inlineStr">
        <is>
          <t>合法词命中对应图书（书名或作者模糊匹配）；不存在的词返回空列表不报错；SQL注入串被参数化查询拦截，返回空结果无异常</t>
        </is>
      </c>
      <c r="K16" s="42" t="inlineStr">
        <is>
          <t>OK</t>
        </is>
      </c>
      <c r="L16" s="42" t="inlineStr">
        <is>
          <t>通过</t>
        </is>
      </c>
      <c r="M16" s="42" t="inlineStr">
        <is>
          <t>等价类法（有效：书名/作者；无效：不存在词、注入串）。实测：四类输入行为均正确，注入未生效</t>
        </is>
      </c>
      <c r="N16" s="43" t="n"/>
    </row>
    <row r="17">
      <c r="A17" s="42" t="inlineStr">
        <is>
          <t>BS-IT-044</t>
        </is>
      </c>
      <c r="B17" s="42" t="inlineStr">
        <is>
          <t>M3 图书浏览与检索</t>
        </is>
      </c>
      <c r="C17" s="42" t="inlineStr">
        <is>
          <t>搜索翻页链接特殊字符兼容</t>
        </is>
      </c>
      <c r="D17" s="42" t="inlineStr">
        <is>
          <t>高</t>
        </is>
      </c>
      <c r="E17" s="42" t="inlineStr">
        <is>
          <t>是</t>
        </is>
      </c>
      <c r="F17" s="42" t="inlineStr">
        <is>
          <t>新增</t>
        </is>
      </c>
      <c r="G17" s="42" t="inlineStr">
        <is>
          <t>同041</t>
        </is>
      </c>
      <c r="H17" s="42" t="inlineStr">
        <is>
          <t>nameorauthor=三 体（含空格）/ a&amp;b（含连接符）</t>
        </is>
      </c>
      <c r="I17" s="42" t="inlineStr">
        <is>
          <t>1.请求 action=pageByNameOrAuthor&amp;nameorauthor=三%20体 2.检查响应HTML中翻页导航链接的href属性</t>
        </is>
      </c>
      <c r="J17" s="42" t="inlineStr">
        <is>
          <t>翻页链接中的搜索词值应做URL编码，保证点击"下一页"后搜索条件完整传递</t>
        </is>
      </c>
      <c r="K17" s="42" t="inlineStr">
        <is>
          <t>NG</t>
        </is>
      </c>
      <c r="L17" s="42" t="inlineStr">
        <is>
          <t>不通过</t>
        </is>
      </c>
      <c r="M17" s="42" t="inlineStr">
        <is>
          <t>场景法/缺陷定向验证。实测：href形如 ...&amp;nameorauthor=三 体&amp;pageNo=2，空格与&amp;未编码（ClientBookServlet第48行原始拼接）；点击翻页后搜索词被截断、&amp;后内容丢失</t>
        </is>
      </c>
      <c r="N17" s="43" t="n"/>
    </row>
    <row r="18">
      <c r="A18" s="42" t="inlineStr">
        <is>
          <t>BS-IT-045</t>
        </is>
      </c>
      <c r="B18" s="42" t="inlineStr">
        <is>
          <t>M3 图书浏览与检索</t>
        </is>
      </c>
      <c r="C18" s="42" t="inlineStr">
        <is>
          <t>价格区间筛选边界</t>
        </is>
      </c>
      <c r="D18" s="42" t="inlineStr">
        <is>
          <t>高</t>
        </is>
      </c>
      <c r="E18" s="42" t="inlineStr">
        <is>
          <t>是</t>
        </is>
      </c>
      <c r="F18" s="42" t="inlineStr">
        <is>
          <t>新增</t>
        </is>
      </c>
      <c r="G18" s="42" t="inlineStr">
        <is>
          <t>同041；库中存在10~30元图书、价格为57和56.5的边界样本</t>
        </is>
      </c>
      <c r="H18" s="42" t="inlineStr">
        <is>
          <t>min,max = (10,30) / (57,57) / (100,10) / (56.5,56.5)</t>
        </is>
      </c>
      <c r="I18" s="42" t="inlineStr">
        <is>
          <t>1.依次请求 action=pageByPrice&amp;min=X&amp;max=Y 2.页面结果数与直查库区间数比对 3.检查提示信息</t>
        </is>
      </c>
      <c r="J18" s="42" t="inlineStr">
        <is>
          <t>合法区间结果与库一致；min=max精确匹配；min&gt;max给出可见提示或自动归一化；小数价格参数正常参与筛选</t>
        </is>
      </c>
      <c r="K18" s="42" t="inlineStr">
        <is>
          <t>NG</t>
        </is>
      </c>
      <c r="L18" s="42" t="inlineStr">
        <is>
          <t>不通过</t>
        </is>
      </c>
      <c r="M18" s="42" t="inlineStr">
        <is>
          <t>边界值法+等价类法。实测：min&gt;max返回空列表且无任何提示；(56.5,56.5)筛选完全失效——WebUtils.parseInt仅支持整数，解析失败静默回退0~最大值，页面仍显示全部图书</t>
        </is>
      </c>
      <c r="N18" s="43" t="n"/>
    </row>
    <row r="19">
      <c r="A19" s="42" t="inlineStr">
        <is>
          <t>BS-IT-046</t>
        </is>
      </c>
      <c r="B19" s="42" t="inlineStr">
        <is>
          <t>M3 图书浏览与检索</t>
        </is>
      </c>
      <c r="C19" s="42" t="inlineStr">
        <is>
          <t>销量榜单排序与完整性</t>
        </is>
      </c>
      <c r="D19" s="42" t="inlineStr">
        <is>
          <t>中</t>
        </is>
      </c>
      <c r="E19" s="42" t="inlineStr">
        <is>
          <t>是</t>
        </is>
      </c>
      <c r="F19" s="42" t="inlineStr">
        <is>
          <t>新增</t>
        </is>
      </c>
      <c r="G19" s="42" t="inlineStr">
        <is>
          <t>造数：将id=1《解忧杂货店》sales改为999（全库最高），测试后还原为100</t>
        </is>
      </c>
      <c r="H19" s="42" t="inlineStr">
        <is>
          <t>-</t>
        </is>
      </c>
      <c r="I19" s="42" t="inlineStr">
        <is>
          <t>1.请求 action=pageOrder 2.检查榜单是否包含《解忧杂货店》</t>
        </is>
      </c>
      <c r="J19" s="42" t="inlineStr">
        <is>
          <t>榜单按销量降序展示，且必须包含销量第一名</t>
        </is>
      </c>
      <c r="K19" s="42" t="inlineStr">
        <is>
          <t>NG</t>
        </is>
      </c>
      <c r="L19" s="42" t="inlineStr">
        <is>
          <t>不通过</t>
        </is>
      </c>
      <c r="M19" s="42" t="inlineStr">
        <is>
          <t>缺陷定向验证。实测：榜单不含销量第一名；SQL为 ORDER BY sales DESC LIMIT 1,50（BookDaoImpl第88行），偏移量1跳过第1名从第2名开始</t>
        </is>
      </c>
      <c r="N19" s="43" t="n"/>
    </row>
    <row r="20">
      <c r="A20" s="42" t="inlineStr">
        <is>
          <t>BS-UT-061</t>
        </is>
      </c>
      <c r="B20" s="42" t="inlineStr">
        <is>
          <t>M4 购物车</t>
        </is>
      </c>
      <c r="C20" s="42" t="inlineStr">
        <is>
          <t>同一本书重复加购时数量累加且金额正确</t>
        </is>
      </c>
      <c r="D20" s="42" t="inlineStr">
        <is>
          <t>高</t>
        </is>
      </c>
      <c r="E20" s="42" t="inlineStr">
        <is>
          <t>是</t>
        </is>
      </c>
      <c r="F20" s="42" t="inlineStr">
        <is>
          <t>否</t>
        </is>
      </c>
      <c r="G20" s="42" t="inlineStr">
        <is>
          <t>构造全新 Cart 对象（不依赖 web 容器）</t>
        </is>
      </c>
      <c r="H20" s="42" t="inlineStr">
        <is>
          <t>对同一本图书（id=1, price=27.20）连续加购 2 次</t>
        </is>
      </c>
      <c r="I20" s="42" t="inlineStr">
        <is>
          <t>1. new Cart()
2. 两次调用 cart.addItem(同一 CartItem)
3. 断言 count 与 totalPrice</t>
        </is>
      </c>
      <c r="J20" s="42" t="inlineStr">
        <is>
          <t>count=2，totalPrice=54.40，且购物车中只有 1 个条目（不重复建行）</t>
        </is>
      </c>
      <c r="K20" s="42" t="inlineStr">
        <is>
          <t>OK</t>
        </is>
      </c>
      <c r="L20" s="42" t="inlineStr">
        <is>
          <t>通过</t>
        </is>
      </c>
      <c r="M20" s="42" t="inlineStr">
        <is>
          <t>等价类；实测：count=2，totalPrice=54.40，items 大小为 1</t>
        </is>
      </c>
      <c r="N20" s="43" t="n"/>
    </row>
    <row r="21">
      <c r="A21" s="42" t="inlineStr">
        <is>
          <t>BS-UT-062</t>
        </is>
      </c>
      <c r="B21" s="42" t="inlineStr">
        <is>
          <t>M4 购物车</t>
        </is>
      </c>
      <c r="C21" s="42" t="inlineStr">
        <is>
          <t>购物车总金额使用 BigDecimal 精确计算</t>
        </is>
      </c>
      <c r="D21" s="42" t="inlineStr">
        <is>
          <t>高</t>
        </is>
      </c>
      <c r="E21" s="42" t="inlineStr">
        <is>
          <t>是</t>
        </is>
      </c>
      <c r="F21" s="42" t="inlineStr">
        <is>
          <t>否</t>
        </is>
      </c>
      <c r="G21" s="42" t="inlineStr">
        <is>
          <t>构造 Cart，含单价 27.20、数量 3 的商品项</t>
        </is>
      </c>
      <c r="H21" s="42" t="inlineStr">
        <is>
          <t>price=27.20, count=3</t>
        </is>
      </c>
      <c r="I21" s="42" t="inlineStr">
        <is>
          <t>1. 计算 cart.getTotalPrice()
2. 断言等于 81.60（而非 81.60000000000001）</t>
        </is>
      </c>
      <c r="J21" s="42" t="inlineStr">
        <is>
          <t>返回 81.60，无二进制浮点误差</t>
        </is>
      </c>
      <c r="K21" s="42" t="inlineStr">
        <is>
          <t>OK</t>
        </is>
      </c>
      <c r="L21" s="42" t="inlineStr">
        <is>
          <t>通过</t>
        </is>
      </c>
      <c r="M21" s="42" t="inlineStr">
        <is>
          <t>等价类（数据精度）；实测：getTotalPrice() 返回 81.60，与 BigDecimal 精确值相等</t>
        </is>
      </c>
      <c r="N21" s="43" t="n"/>
    </row>
    <row r="22">
      <c r="A22" s="42" t="inlineStr">
        <is>
          <t>BS-IT-063</t>
        </is>
      </c>
      <c r="B22" s="42" t="inlineStr">
        <is>
          <t>M4 购物车</t>
        </is>
      </c>
      <c r="C22" s="42" t="inlineStr">
        <is>
          <t>【缺陷】加购不存在的图书 ID 返回 500 错误</t>
        </is>
      </c>
      <c r="D22" s="42" t="inlineStr">
        <is>
          <t>中</t>
        </is>
      </c>
      <c r="E22" s="42" t="inlineStr">
        <is>
          <t>是</t>
        </is>
      </c>
      <c r="F22" s="42" t="inlineStr">
        <is>
          <t>否</t>
        </is>
      </c>
      <c r="G22" s="42" t="inlineStr">
        <is>
          <t>已建立会话（携带 JSESSIONID）</t>
        </is>
      </c>
      <c r="H22" s="42" t="inlineStr">
        <is>
          <t>id=99999（格式合法但数据库不存在该图书）</t>
        </is>
      </c>
      <c r="I22" s="42" t="inlineStr">
        <is>
          <t>1. GET /Book/cartServlet?action=ajaxAddItem&amp;id=99999
2. 观察 HTTP 状态码与响应内容</t>
        </is>
      </c>
      <c r="J22" s="42" t="inlineStr">
        <is>
          <t>应友好提示“图书不存在”，不应抛出服务端异常</t>
        </is>
      </c>
      <c r="K22" s="42" t="inlineStr">
        <is>
          <t>NG</t>
        </is>
      </c>
      <c r="L22" s="42" t="inlineStr">
        <is>
          <t>不通过</t>
        </is>
      </c>
      <c r="M22" s="42" t="inlineStr">
        <is>
          <t>边界值；实测：HTTP 500，响应体含 java.lang.NullPointerException（BookDao 查不到返回 null，CartServlet 第 26 行 book.getId() 解引用空指针）</t>
        </is>
      </c>
      <c r="N22" s="43" t="n"/>
    </row>
    <row r="23">
      <c r="A23" s="42" t="inlineStr">
        <is>
          <t>BS-IT-064</t>
        </is>
      </c>
      <c r="B23" s="42" t="inlineStr">
        <is>
          <t>M4 购物车</t>
        </is>
      </c>
      <c r="C23" s="42" t="inlineStr">
        <is>
          <t>【缺陷】加购非数字 ID 返回 500 错误</t>
        </is>
      </c>
      <c r="D23" s="42" t="inlineStr">
        <is>
          <t>中</t>
        </is>
      </c>
      <c r="E23" s="42" t="inlineStr">
        <is>
          <t>是</t>
        </is>
      </c>
      <c r="F23" s="42" t="inlineStr">
        <is>
          <t>否</t>
        </is>
      </c>
      <c r="G23" s="42" t="inlineStr">
        <is>
          <t>已建立会话</t>
        </is>
      </c>
      <c r="H23" s="42" t="inlineStr">
        <is>
          <t>id=abc（非数字）</t>
        </is>
      </c>
      <c r="I23" s="42" t="inlineStr">
        <is>
          <t>1. GET /Book/cartServlet?action=ajaxAddItem&amp;id=abc
2. 观察 HTTP 状态码</t>
        </is>
      </c>
      <c r="J23" s="42" t="inlineStr">
        <is>
          <t>应提示参数非法，不应抛出服务端异常</t>
        </is>
      </c>
      <c r="K23" s="42" t="inlineStr">
        <is>
          <t>NG</t>
        </is>
      </c>
      <c r="L23" s="42" t="inlineStr">
        <is>
          <t>不通过</t>
        </is>
      </c>
      <c r="M23" s="42" t="inlineStr">
        <is>
          <t>边界值；实测：HTTP 500。WebUtils.parseInt("abc",0) 静默返回默认值 0，再以 id=0 查库得到 null，触发同一处空指针</t>
        </is>
      </c>
      <c r="N23" s="43" t="n"/>
    </row>
    <row r="24">
      <c r="A24" s="42" t="inlineStr">
        <is>
          <t>BS-IT-065</t>
        </is>
      </c>
      <c r="B24" s="42" t="inlineStr">
        <is>
          <t>M4 购物车</t>
        </is>
      </c>
      <c r="C24" s="42" t="inlineStr">
        <is>
          <t>【缺陷】修改商品数量为负数导致购物车总数为负</t>
        </is>
      </c>
      <c r="D24" s="42" t="inlineStr">
        <is>
          <t>高</t>
        </is>
      </c>
      <c r="E24" s="42" t="inlineStr">
        <is>
          <t>是</t>
        </is>
      </c>
      <c r="F24" s="42" t="inlineStr">
        <is>
          <t>否</t>
        </is>
      </c>
      <c r="G24" s="42" t="inlineStr">
        <is>
          <t>购物车中已有 2 种商品（id=1、id=2，各 1 件），总数量为 2</t>
        </is>
      </c>
      <c r="H24" s="42" t="inlineStr">
        <is>
          <t>id=1, count=-5</t>
        </is>
      </c>
      <c r="I24" s="42" t="inlineStr">
        <is>
          <t>1. GET /Book/cartServlet?action=updateCount&amp;id=1&amp;count=-5
2. 再加购一本书，读取返回 JSON 的 totalCount</t>
        </is>
      </c>
      <c r="J24" s="42" t="inlineStr">
        <is>
          <t>应拒绝负数数量并提示，购物车数量不得为负</t>
        </is>
      </c>
      <c r="K24" s="42" t="inlineStr">
        <is>
          <t>NG</t>
        </is>
      </c>
      <c r="L24" s="42" t="inlineStr">
        <is>
          <t>不通过</t>
        </is>
      </c>
      <c r="M24" s="42" t="inlineStr">
        <is>
          <t>边界值；实测：updateCount 返回 302 表示成功；随后 totalCount 为 -3（= -4 + 1），即 -5 已生效，可进一步生成负金额订单（Cart.updateCount 无下界校验）</t>
        </is>
      </c>
      <c r="N24" s="43" t="n"/>
    </row>
    <row r="25">
      <c r="A25" s="42" t="inlineStr">
        <is>
          <t>BS-IT-066</t>
        </is>
      </c>
      <c r="B25" s="42" t="inlineStr">
        <is>
          <t>M4 购物车</t>
        </is>
      </c>
      <c r="C25" s="42" t="inlineStr">
        <is>
          <t>【缺陷】修改数量为非数字被静默改为 1</t>
        </is>
      </c>
      <c r="D25" s="42" t="inlineStr">
        <is>
          <t>高</t>
        </is>
      </c>
      <c r="E25" s="42" t="inlineStr">
        <is>
          <t>是</t>
        </is>
      </c>
      <c r="F25" s="42" t="inlineStr">
        <is>
          <t>否</t>
        </is>
      </c>
      <c r="G25" s="42" t="inlineStr">
        <is>
          <t>购物车中已有商品 id=1，总数量为 3</t>
        </is>
      </c>
      <c r="H25" s="42" t="inlineStr">
        <is>
          <t>id=1, count=abc</t>
        </is>
      </c>
      <c r="I25" s="42" t="inlineStr">
        <is>
          <t>1. GET /Book/cartServlet?action=updateCount&amp;id=1&amp;count=abc
2. 再加购一本书，读取 totalCount</t>
        </is>
      </c>
      <c r="J25" s="42" t="inlineStr">
        <is>
          <t>应提示数量参数非法，不应改变原有数量</t>
        </is>
      </c>
      <c r="K25" s="42" t="inlineStr">
        <is>
          <t>NG</t>
        </is>
      </c>
      <c r="L25" s="42" t="inlineStr">
        <is>
          <t>不通过</t>
        </is>
      </c>
      <c r="M25" s="42" t="inlineStr">
        <is>
          <t>边界值；实测：未提示任何错误，数量被静默改为 1（WebUtils.parseInt 的默认值 1 生效），随后 totalCount 由 3 变为 4（3-1+1+1）</t>
        </is>
      </c>
      <c r="N25" s="43" t="n"/>
    </row>
    <row r="26">
      <c r="A26" s="42" t="inlineStr">
        <is>
          <t>BS-IT-067</t>
        </is>
      </c>
      <c r="B26" s="42" t="inlineStr">
        <is>
          <t>M4 购物车</t>
        </is>
      </c>
      <c r="C26" s="42" t="inlineStr">
        <is>
          <t>【缺陷】空购物车时删除商品返回空响应</t>
        </is>
      </c>
      <c r="D26" s="42" t="inlineStr">
        <is>
          <t>中</t>
        </is>
      </c>
      <c r="E26" s="42" t="inlineStr">
        <is>
          <t>是</t>
        </is>
      </c>
      <c r="F26" s="42" t="inlineStr">
        <is>
          <t>否</t>
        </is>
      </c>
      <c r="G26" s="42" t="inlineStr">
        <is>
          <t>全新会话，session 中不存在 cart 对象</t>
        </is>
      </c>
      <c r="H26" s="42" t="inlineStr">
        <is>
          <t>id=1</t>
        </is>
      </c>
      <c r="I26" s="42" t="inlineStr">
        <is>
          <t>1. 使用全新会话 GET /Book/cartServlet?action=deleteItem&amp;id=1
2. 观察 HTTP 状态码与响应体长度</t>
        </is>
      </c>
      <c r="J26" s="42" t="inlineStr">
        <is>
          <t>应正常跳转回购物车页或给出提示</t>
        </is>
      </c>
      <c r="K26" s="42" t="inlineStr">
        <is>
          <t>NG</t>
        </is>
      </c>
      <c r="L26" s="42" t="inlineStr">
        <is>
          <t>不通过</t>
        </is>
      </c>
      <c r="M26" s="42" t="inlineStr">
        <is>
          <t>边界值；实测：HTTP 200 但响应体 0 字节——CartServlet 中仅在 cart!=null 时才 sendRedirect，cart 为空时不产生任何响应，客户端会停在空白页</t>
        </is>
      </c>
      <c r="N26" s="43" t="n"/>
    </row>
    <row r="27">
      <c r="A27" s="42" t="inlineStr">
        <is>
          <t>BS-IT-068</t>
        </is>
      </c>
      <c r="B27" s="42" t="inlineStr">
        <is>
          <t>M4 购物车</t>
        </is>
      </c>
      <c r="C27" s="42" t="inlineStr">
        <is>
          <t>清空购物车后会话中的 cart 被移除</t>
        </is>
      </c>
      <c r="D27" s="42" t="inlineStr">
        <is>
          <t>中</t>
        </is>
      </c>
      <c r="E27" s="42" t="inlineStr">
        <is>
          <t>是</t>
        </is>
      </c>
      <c r="F27" s="42" t="inlineStr">
        <is>
          <t>否</t>
        </is>
      </c>
      <c r="G27" s="42" t="inlineStr">
        <is>
          <t>已建立会话且购物车中有商品</t>
        </is>
      </c>
      <c r="H27" s="42" t="inlineStr">
        <is>
          <t>无参数</t>
        </is>
      </c>
      <c r="I27" s="42" t="inlineStr">
        <is>
          <t>1. GET /Book/cartServlet?action=clearItem
2. 检查 session 中 cart 属性</t>
        </is>
      </c>
      <c r="J27" s="42" t="inlineStr">
        <is>
          <t>session 中 cart 属性被移除，购物车总数量恢复为 0</t>
        </is>
      </c>
      <c r="K27" s="42" t="inlineStr">
        <is>
          <t>OK</t>
        </is>
      </c>
      <c r="L27" s="42" t="inlineStr">
        <is>
          <t>通过</t>
        </is>
      </c>
      <c r="M27" s="42" t="inlineStr">
        <is>
          <t>场景法；实测：cart 属性被 removeAttribute 移除，页面显示购物车为空</t>
        </is>
      </c>
      <c r="N27" s="43" t="n"/>
    </row>
    <row r="28">
      <c r="A28" s="42" t="inlineStr">
        <is>
          <t>BS1-IT-024</t>
        </is>
      </c>
      <c r="B28" s="42" t="inlineStr">
        <is>
          <t>M5 订单、库存与事务</t>
        </is>
      </c>
      <c r="C28" s="42" t="inlineStr">
        <is>
          <t>未登录用户创建订单被拦截</t>
        </is>
      </c>
      <c r="D28" s="42" t="inlineStr">
        <is>
          <t>高</t>
        </is>
      </c>
      <c r="E28" s="42" t="inlineStr">
        <is>
          <t>是</t>
        </is>
      </c>
      <c r="F28" s="42" t="inlineStr">
        <is>
          <t>新增</t>
        </is>
      </c>
      <c r="G28" s="42" t="inlineStr">
        <is>
          <t>游客未登录；[T]zzT订单测试书 存在；已记录 zzT_normal 在 t_order 中的订单数。
测试数据：[T]zzT订单测试书（单价 10.00 / 库存 20 / 销量 100）、zzT_normal / zzT12345</t>
        </is>
      </c>
      <c r="H28" s="42" t="inlineStr">
        <is>
          <t>POST /Book/client/orderServlet?action=createOrder
（游客 Session 中已先加入 1 本 [T]zzT订单测试书）</t>
        </is>
      </c>
      <c r="I28" s="42" t="inlineStr">
        <is>
          <t>1. 新建无 Cookie 的会话；
2. 加购 [T]zzT订单测试书；
3. 直接提交订单；
4. 回查 zzT_normal 在 t_order 中的记录数是否变化。</t>
        </is>
      </c>
      <c r="J28" s="42" t="inlineStr">
        <is>
          <t>转发到登录页（HTTP 200 + forward）；t_order 中不产生任何新记录。</t>
        </is>
      </c>
      <c r="K28" s="42" t="inlineStr">
        <is>
          <t>OK</t>
        </is>
      </c>
      <c r="L28" s="42" t="inlineStr">
        <is>
          <t>通过</t>
        </is>
      </c>
      <c r="M28" s="42" t="inlineStr">
        <is>
          <t>等价类划分（无效等价类：未登录）。
模拟「逛完加购后直接点结算」的真实路径，比单纯未登录直接访问更接近实际使用。；实测：HTTP 200，响应为登录页 &lt;title&gt;登录页面&lt;/title&gt;；zzT_normal 的订单数与执行前一致。</t>
        </is>
      </c>
      <c r="N28" s="43" t="n"/>
    </row>
    <row r="29">
      <c r="A29" s="42" t="inlineStr">
        <is>
          <t>BS1-IT-025</t>
        </is>
      </c>
      <c r="B29" s="42" t="inlineStr">
        <is>
          <t>M5 订单、库存与事务</t>
        </is>
      </c>
      <c r="C29" s="42" t="inlineStr">
        <is>
          <t>已登录用户正常下单全链路</t>
        </is>
      </c>
      <c r="D29" s="42" t="inlineStr">
        <is>
          <t>高</t>
        </is>
      </c>
      <c r="E29" s="42" t="inlineStr">
        <is>
          <t>是</t>
        </is>
      </c>
      <c r="F29" s="42" t="inlineStr">
        <is>
          <t>新增</t>
        </is>
      </c>
      <c r="G29" s="42" t="inlineStr">
        <is>
          <t>zzT_normal 登录成功；[T]zzT订单测试书 单价 10.00、库存 20、销量 100。
测试数据：zzT_normal / zzT12345、[T]zzT订单测试书</t>
        </is>
      </c>
      <c r="H29" s="42" t="inlineStr">
        <is>
          <t>加购 1 本 → 数量改为 2 → POST /Book/client/orderServlet?action=createOrder
预期订单金额 = 10.00 × 2 = 20.00</t>
        </is>
      </c>
      <c r="I29" s="42" t="inlineStr">
        <is>
          <t>1. 登录并记录库存、销量、订单数基准值；
2. 加购并把数量改为 2；
3. 打开支付页确认购物车金额为 20.00；
4. 提交订单；
5. 依次核对 t_order、t_order_item、t_book.stock、t_book.sales、结算页、购物车。</t>
        </is>
      </c>
      <c r="J29" s="42" t="inlineStr">
        <is>
          <t>① 新增 1 条 t_order，price = 20.00、status = 0、user_id = 当前用户；
② 新增 1 条 t_order_item，书名/数量/金额与购物车一致；
③ t_book.stock 减少 2、t_book.sales 增加 2；
④ 302 重定向到 checkout.jsp，页面显示 Session 中的订单号；
⑤ 购物车被清空，支付页不再显示原金额。</t>
        </is>
      </c>
      <c r="K29" s="42" t="inlineStr">
        <is>
          <t>OK</t>
        </is>
      </c>
      <c r="L29" s="42" t="inlineStr">
        <is>
          <t>通过</t>
        </is>
      </c>
      <c r="M29" s="42" t="inlineStr">
        <is>
          <t>场景法（正向基本流）。M5 唯一一条端到端正向用例，一次性覆盖订单、订单项、库存、销量、购物车五个观测点。
断言全部使用执行前后差值，可重复执行不累积误差。；实测：订单金额 20.00、status = 0、归属正确；订单项书名与数量（2）一致；库存 -2、销量 +2；结算页同时出现「你的订单已结算」与订单号；支付页不再显示 20.00，购物车已清空。</t>
        </is>
      </c>
      <c r="N29" s="43" t="n"/>
    </row>
    <row r="30">
      <c r="A30" s="42" t="inlineStr">
        <is>
          <t>BS1-IT-026</t>
        </is>
      </c>
      <c r="B30" s="42" t="inlineStr">
        <is>
          <t>M5 订单、库存与事务</t>
        </is>
      </c>
      <c r="C30" s="42" t="inlineStr">
        <is>
          <t>空购物车下单（边界值）</t>
        </is>
      </c>
      <c r="D30" s="42" t="inlineStr">
        <is>
          <t>高</t>
        </is>
      </c>
      <c r="E30" s="42" t="inlineStr">
        <is>
          <t>是</t>
        </is>
      </c>
      <c r="F30" s="42" t="inlineStr">
        <is>
          <t>新增</t>
        </is>
      </c>
      <c r="G30" s="42" t="inlineStr">
        <is>
          <t>情形 A：zzT_victim 全新会话，Session 中没有任何 cart 属性；
情形 B：zzT_normal 已完成一次正常下单，Session 中 cart 存在但内容为空。
测试数据：zzT_victim / zzT12345、zzT_normal / zzT12345、[T]zzT订单测试书</t>
        </is>
      </c>
      <c r="H30" s="42" t="inlineStr">
        <is>
          <t>A）Session 中无 cart 属性时 POST /Book/client/orderServlet?action=createOrder
B）Session 中 cart 为空时再次 POST /Book/client/orderServlet?action=createOrder</t>
        </is>
      </c>
      <c r="I30" s="42" t="inlineStr">
        <is>
          <t>1. 情形 A：新登录后不加购，直接提交订单，观察 HTTP 状态码与订单数；
2. 情形 B：正常下单一次后购物车已被清空，再次提交订单；
3. 回查是否新增订单、新订单金额。</t>
        </is>
      </c>
      <c r="J30" s="42" t="inlineStr">
        <is>
          <t>两种情形都应被拒绝并给出友好提示，都不产生订单记录。</t>
        </is>
      </c>
      <c r="K30" s="42" t="inlineStr">
        <is>
          <t>OK</t>
        </is>
      </c>
      <c r="L30" s="42" t="inlineStr">
        <is>
          <t>通过</t>
        </is>
      </c>
      <c r="M30" s="42" t="inlineStr">
        <is>
          <t>边界值分析（购物车条目数 = 0）。对应缺陷 D4。
同一个「空购物车」边界，两个入口暴露两个不同缺陷。
用例把证据累积到 findings 列表后一次性断言，避免只报出第一个就漏掉第二个。；实测：（缺陷 BS1-DEF-004 修复后复测，2026-09-14）。
【首轮 NG】观测到两个不同后果：A）返回 HTTP 500，Tomcat 日志定位到 OrderServiceImpl.createOrder(OrderServiceImpl.java:29)：NullPointerException: Cannot invoke "com.yj.bean.Cart.getTotalPrice()" because "&lt;parameter1&gt;" is null；B）购物车已为空时再次提交订单，产生了 1 条金额为 0.00 的空订单（订单号 178938180861317），存在重复提交风险。
【修复后】A）返回 HTTP 200 并给出友好提示，不再出现 500；B）重复提交不再产生 0 元空订单，页面提示购物车为空。
证据原文见 test-results/module1-m2-m5-*.csv 中 BS1-IT-026 行（195449 为修复前，210221 为修复后）。</t>
        </is>
      </c>
      <c r="N30" s="43" t="n"/>
    </row>
    <row r="31">
      <c r="A31" s="42" t="inlineStr">
        <is>
          <t>BS1-IT-027</t>
        </is>
      </c>
      <c r="B31" s="42" t="inlineStr">
        <is>
          <t>M5 订单、库存与事务</t>
        </is>
      </c>
      <c r="C31" s="42" t="inlineStr">
        <is>
          <t>购买数量超过库存（超卖）</t>
        </is>
      </c>
      <c r="D31" s="42" t="inlineStr">
        <is>
          <t>高</t>
        </is>
      </c>
      <c r="E31" s="42" t="inlineStr">
        <is>
          <t>是</t>
        </is>
      </c>
      <c r="F31" s="42" t="inlineStr">
        <is>
          <t>新增</t>
        </is>
      </c>
      <c r="G31" s="42" t="inlineStr">
        <is>
          <t>zzT_normal 登录；[T]zzT库存测试书 库存 5、销量 100。
测试数据：zzT_normal / zzT12345、[T]zzT库存测试书（单价 20.00 / 库存 5 / 销量 100）</t>
        </is>
      </c>
      <c r="H31" s="42" t="inlineStr">
        <is>
          <t>加购 1 本 → 数量改为 8（count &gt; stock）→ POST /Book/client/orderServlet?action=createOrder</t>
        </is>
      </c>
      <c r="I31" s="42" t="inlineStr">
        <is>
          <t>1. 记录库存、销量、订单数基准值；
2. 加购并把数量改成 8；
3. 提交订单；
4. 回查订单数、t_book.stock、t_book.sales。</t>
        </is>
      </c>
      <c r="J31" s="42" t="inlineStr">
        <is>
          <t>拒绝下单或提示库存不足；库存与销量都保持不变；不产生订单。</t>
        </is>
      </c>
      <c r="K31" s="42" t="inlineStr">
        <is>
          <t>OK</t>
        </is>
      </c>
      <c r="L31" s="42" t="inlineStr">
        <is>
          <t>通过</t>
        </is>
      </c>
      <c r="M31" s="42" t="inlineStr">
        <is>
          <t>边界值分析（count = stock + 3，越过库存上界）。对应缺陷 D5。
注意最终库存是 0 而不是 -3：Book.setStock()/getStock() 把负数强制截断为 0，掩盖了超卖的事实。只检查「库存有没有变成负数」会得到错误的通过结论。
根因：OrderServiceImpl.createOrder 不校验库存；并发场景还应使用带条件的原子 UPDATE。；实测：（缺陷 BS1-DEF-005 修复后复测，2026-09-14）。
【首轮 NG】购买 8 本 &gt; 库存 5，订单仍然创建成功（订单号 178938180840317）；库存被改动：5 → 0（Book.setStock 把负数静默截断为 0，掩盖了超卖）；销量被虚增：100 → 108。
【修复后】下单被拒绝，未生成订单；库存保持 5、销量保持 100；页面返回 HTTP 200 并给出库存不足提示（《[T]zzT库存测试书》库存不足：当前库存 5 本，您选购了 8 本，请调整数量后重新提交）。
证据原文见 test-results/module1-m2-m5-*.csv 中 BS1-IT-027 行（195449 为修复前，210221 为修复后）。</t>
        </is>
      </c>
      <c r="N31" s="43" t="n"/>
    </row>
    <row r="32">
      <c r="A32" s="42" t="inlineStr">
        <is>
          <t>BS1-IT-028</t>
        </is>
      </c>
      <c r="B32" s="42" t="inlineStr">
        <is>
          <t>M5 订单、库存与事务</t>
        </is>
      </c>
      <c r="C32" s="42" t="inlineStr">
        <is>
          <t>订单状态流转未校验原状态与订单归属</t>
        </is>
      </c>
      <c r="D32" s="42" t="inlineStr">
        <is>
          <t>高</t>
        </is>
      </c>
      <c r="E32" s="42" t="inlineStr">
        <is>
          <t>是</t>
        </is>
      </c>
      <c r="F32" s="42" t="inlineStr">
        <is>
          <t>新增</t>
        </is>
      </c>
      <c r="G32" s="42" t="inlineStr">
        <is>
          <t>基线订单 zzT_order_status 的 status = 0（未发货），归属 zzT_normal。
测试数据：zzT_order_status、zzT_victim / zzT12345（非订单所有者，也非管理员）</t>
        </is>
      </c>
      <c r="H32" s="42" t="inlineStr">
        <is>
          <t>以 zzT_victim 登录后 GET /Book/client/orderServlet?action=receivedOrder&amp;orderId=zzT_order_status
Referer: /Book/client/orderServlet?action=myOrders</t>
        </is>
      </c>
      <c r="I32" s="42" t="inlineStr">
        <is>
          <t>1. 确认基线订单状态为 0；
2. 用非订单所有者的普通账号登录；
3. 直接请求「确认收货」；
4. 回查订单 status。</t>
        </is>
      </c>
      <c r="J32" s="42" t="inlineStr">
        <is>
          <t>应被拒绝——既要求订单属于当前用户，也要求订单先经过「已发货」才能确认收货；订单状态应保持 0。</t>
        </is>
      </c>
      <c r="K32" s="42" t="inlineStr">
        <is>
          <t>OK</t>
        </is>
      </c>
      <c r="L32" s="42" t="inlineStr">
        <is>
          <t>通过</t>
        </is>
      </c>
      <c r="M32" s="42" t="inlineStr">
        <is>
          <t>场景法（缺陷探测：非法状态迁移 + 水平越权）。对应缺陷 D6。
一条用例同时命中「非法状态迁移」与「水平越权」两个问题。
根因：OrderServiceImpl.receivedOrder 直接 updateOrderStatus(2, orderId)，SQL 只按 order_id 更新，无 and status = 1、无 and user_id = ?；ClientOrderServlet.receivedOrder 连登录判断都没有。；实测：（缺陷 BS1-DEF-006 修复后复测，2026-09-14）。
【首轮 NG】非订单所有者的普通用户把订单 zzT_order_status 的状态从 0（未发货）直接改成了 2，跳过了「已发货」环节，且未校验订单归属。
【修复后】请求被拒绝——状态更新 SQL 同时施加「user_id = 当前用户」与「status = 1（已发货）」两个条件，受影响行数为 0；回查数据库订单状态保持 0。
证据原文见 test-results/module1-m2-m5-*.csv 中 BS1-IT-028 行（195449 为修复前，210221 为修复后）。</t>
        </is>
      </c>
      <c r="N32" s="43" t="n"/>
    </row>
    <row r="33">
      <c r="A33" s="42" t="inlineStr">
        <is>
          <t>BS1-IT-029</t>
        </is>
      </c>
      <c r="B33" s="42" t="inlineStr">
        <is>
          <t>M5 订单、库存与事务</t>
        </is>
      </c>
      <c r="C33" s="42" t="inlineStr">
        <is>
          <t>订单明细越权查看</t>
        </is>
      </c>
      <c r="D33" s="42" t="inlineStr">
        <is>
          <t>高</t>
        </is>
      </c>
      <c r="E33" s="42" t="inlineStr">
        <is>
          <t>是</t>
        </is>
      </c>
      <c r="F33" s="42" t="inlineStr">
        <is>
          <t>新增</t>
        </is>
      </c>
      <c r="G33" s="42" t="inlineStr">
        <is>
          <t>基线订单 zzT_order_hijack 属于 zzT_normal，且已有 1 条订单项（商品为 [T]zzT订单测试书）。
测试数据：zzT_order_hijack、zzT_victim / zzT12345</t>
        </is>
      </c>
      <c r="H33" s="42" t="inlineStr">
        <is>
          <t>以 zzT_victim 登录后 GET /Book/client/orderServlet?action=showOrderItem&amp;orderId=zzT_order_hijack</t>
        </is>
      </c>
      <c r="I33" s="42" t="inlineStr">
        <is>
          <t>1. 确认该订单至少有 1 条订单项；
2. 用非订单所有者的账号登录；
3. 把 URL 中的 orderId 换成他人订单号并访问；
4. 检查响应内容是否含他人订单号与商品名。</t>
        </is>
      </c>
      <c r="J33" s="42" t="inlineStr">
        <is>
          <t>不应返回他人订单的明细（应拒绝或返回空）。</t>
        </is>
      </c>
      <c r="K33" s="42" t="inlineStr">
        <is>
          <t>OK</t>
        </is>
      </c>
      <c r="L33" s="42" t="inlineStr">
        <is>
          <t>通过</t>
        </is>
      </c>
      <c r="M33" s="42" t="inlineStr">
        <is>
          <t>场景法（缺陷探测：水平越权 IDOR）。对应缺陷 D7。
根因：ClientOrderServlet.showOrderItem 只判断「是否登录」，之后直接按前端传入的 orderId 查询，未校验订单归属；ManagerOrderServlet.showOrderItem 存在完全相同的问题。；实测：（缺陷 BS1-DEF-007 修复后复测，2026-09-14）。
【首轮 NG】页面直接渲染出他人订单号 zzT_order_hijack，并泄露了该订单的商品名 [T]zzT订单测试书。
【修复后】Servlet 层比对订单归属，不一致时转发 errorForbidden.jsp，返回 HTTP 200 的无权限页；页面不再出现他人订单号与商品名。
证据原文见 test-results/module1-m2-m5-*.csv 中 BS1-IT-029 行（195449 为修复前，210221 为修复后）。</t>
        </is>
      </c>
      <c r="N33" s="43" t="n"/>
    </row>
    <row r="34">
      <c r="A34" s="42" t="inlineStr">
        <is>
          <t>BS1-UT-030</t>
        </is>
      </c>
      <c r="B34" s="42" t="inlineStr">
        <is>
          <t>M5 订单、库存与事务</t>
        </is>
      </c>
      <c r="C34" s="42" t="inlineStr">
        <is>
          <t>下单中途失败时事务完整回滚</t>
        </is>
      </c>
      <c r="D34" s="42" t="inlineStr">
        <is>
          <t>高</t>
        </is>
      </c>
      <c r="E34" s="42" t="inlineStr">
        <is>
          <t>是</t>
        </is>
      </c>
      <c r="F34" s="42" t="inlineStr">
        <is>
          <t>新增</t>
        </is>
      </c>
      <c r="G34" s="42" t="inlineStr">
        <is>
          <t>zzT_normal 与 [T]zzT订单测试书 存在；基线脚本已执行。
测试数据：zzT_normal / zzT12345、[T]zzT订单测试书、不存在的图书 ID 99999999</t>
        </is>
      </c>
      <c r="H34" s="42" t="inlineStr">
        <is>
          <t>OrderServiceImpl.createOrder(cart, userId)，其中 cart 含两项：
  CartItem([T]zzT订单测试书 × 2, 单价 10.00, 小计 20.00)
  CartItem(图书 ID 99999999 × 1, 单价 1.00, 小计 1.00)  ← 该图书不存在</t>
        </is>
      </c>
      <c r="I34" s="42" t="inlineStr">
        <is>
          <t>阶段一（对照）：用 JDBCUtils 的连接写入一条订单并显式 commitAndClose()，再用独立连接确认能查到；
阶段二（回滚）：构造上述购物车调用 createOrder，第一项正常写入后第二项因图书不存在抛空指针，按 TransactionFilter 的同样方式 rollbackAndClose()；
阶段三：检查内存中的 Cart 对象。</t>
        </is>
      </c>
      <c r="J34" s="42" t="inlineStr">
        <is>
          <t>① 对照阶段显式提交的订单必须能被独立连接查到；
② t_order 行数、t_order_item 行数、库存、销量全部回到执行前；
③ Session 购物车不属于 JDBC 事务，回滚后商品应仍在。</t>
        </is>
      </c>
      <c r="K34" s="42" t="inlineStr">
        <is>
          <t>OK</t>
        </is>
      </c>
      <c r="L34" s="42" t="inlineStr">
        <is>
          <t>通过</t>
        </is>
      </c>
      <c r="M34" s="42" t="inlineStr">
        <is>
          <t>场景法（异常流）+ 对照实验。
阶段一是防「空验证」的对照：若连显式提交的数据都查不到，说明观测手段本身失效，「回滚后查不到」就不能作为通过依据。
同时验证了「JUnit 直接调用 Service/DAO 不经过 TransactionFilter，必须自己显式提交或回滚」。；实测：对照订单可被独立连接查到（观测手段有效）；异常抛出后 t_order 与 t_order_item 行数不变，库存与销量均回到基准值；Cart 中商品仍保留。</t>
        </is>
      </c>
      <c r="N34" s="43" t="n"/>
    </row>
    <row r="35">
      <c r="A35" s="42" t="inlineStr">
        <is>
          <t>BS-IT-101</t>
        </is>
      </c>
      <c r="B35" s="42" t="inlineStr">
        <is>
          <t>M6 后台管理</t>
        </is>
      </c>
      <c r="C35" s="42" t="inlineStr">
        <is>
          <t>管理员图书管理分页列表</t>
        </is>
      </c>
      <c r="D35" s="42" t="inlineStr">
        <is>
          <t>高</t>
        </is>
      </c>
      <c r="E35" s="42" t="inlineStr">
        <is>
          <t>是</t>
        </is>
      </c>
      <c r="F35" s="42" t="inlineStr">
        <is>
          <t>新增</t>
        </is>
      </c>
      <c r="G35" s="42" t="inlineStr">
        <is>
          <t>admin/admin为管理员账号</t>
        </is>
      </c>
      <c r="H35" s="42" t="inlineStr">
        <is>
          <t>-</t>
        </is>
      </c>
      <c r="I35" s="42" t="inlineStr">
        <is>
          <t>1.admin登录获取会话 2.请求 /manager/bookServlet?action=page&amp;pageNo=1 3.对照组：不带Cookie访问同一URL</t>
        </is>
      </c>
      <c r="J35" s="42" t="inlineStr">
        <is>
          <t>管理员访问返回200，展示图书与分页导航；未登录访问被ManagerFilter拦截，响应为登录页而非管理内容</t>
        </is>
      </c>
      <c r="K35" s="42" t="inlineStr">
        <is>
          <t>OK</t>
        </is>
      </c>
      <c r="L35" s="42" t="inlineStr">
        <is>
          <t>通过</t>
        </is>
      </c>
      <c r="M35" s="42" t="inlineStr">
        <is>
          <t>场景法（含未登录对照组）。实测：登录后正常展示库中图书；未登录响应为登录表单（forward实现，HTTP 200但无管理内容）</t>
        </is>
      </c>
      <c r="N35" s="43" t="n"/>
    </row>
    <row r="36">
      <c r="A36" s="42" t="inlineStr">
        <is>
          <t>BS-IT-102</t>
        </is>
      </c>
      <c r="B36" s="42" t="inlineStr">
        <is>
          <t>M6 后台管理</t>
        </is>
      </c>
      <c r="C36" s="42" t="inlineStr">
        <is>
          <t>新增图书输入校验</t>
        </is>
      </c>
      <c r="D36" s="42" t="inlineStr">
        <is>
          <t>高</t>
        </is>
      </c>
      <c r="E36" s="42" t="inlineStr">
        <is>
          <t>是</t>
        </is>
      </c>
      <c r="F36" s="42" t="inlineStr">
        <is>
          <t>新增</t>
        </is>
      </c>
      <c r="G36" s="42" t="inlineStr">
        <is>
          <t>admin已登录；测试数据按作者标记CPTEST，测后清理</t>
        </is>
      </c>
      <c r="H36" s="42" t="inlineStr">
        <is>
          <t>name=丙测试书,price=35.50 / name=空 / price=-5 / price=abc</t>
        </is>
      </c>
      <c r="I36" s="42" t="inlineStr">
        <is>
          <t>1.依次POST /manager/bookServlet?action=add 2.每种输入后查库t_book验证</t>
        </is>
      </c>
      <c r="J36" s="42" t="inlineStr">
        <is>
          <t>合法数据入库；空书名、负价格、非数字价格应被服务端校验拒绝并给出提示</t>
        </is>
      </c>
      <c r="K36" s="42" t="inlineStr">
        <is>
          <t>NG</t>
        </is>
      </c>
      <c r="L36" s="42" t="inlineStr">
        <is>
          <t>不通过</t>
        </is>
      </c>
      <c r="M36" s="42" t="inlineStr">
        <is>
          <t>等价类法（合法值、空值、负值、类型非法值）。实测：四种输入全部直接入库——空书名以name=''入库；负价-5.00入库；price=abc时BeanUtils转换异常被吞掉后以NULL入库；全程无输入校验</t>
        </is>
      </c>
      <c r="N36" s="43" t="n"/>
    </row>
    <row r="37">
      <c r="A37" s="42" t="inlineStr">
        <is>
          <t>BS-IT-103</t>
        </is>
      </c>
      <c r="B37" s="42" t="inlineStr">
        <is>
          <t>M6 后台管理</t>
        </is>
      </c>
      <c r="C37" s="42" t="inlineStr">
        <is>
          <t>修改图书回显与更新</t>
        </is>
      </c>
      <c r="D37" s="42" t="inlineStr">
        <is>
          <t>中</t>
        </is>
      </c>
      <c r="E37" s="42" t="inlineStr">
        <is>
          <t>是</t>
        </is>
      </c>
      <c r="F37" s="42" t="inlineStr">
        <is>
          <t>新增</t>
        </is>
      </c>
      <c r="G37" s="42" t="inlineStr">
        <is>
          <t>admin已登录；id=2《边城》原价23.00</t>
        </is>
      </c>
      <c r="H37" s="42" t="inlineStr">
        <is>
          <t>price修改为99.99</t>
        </is>
      </c>
      <c r="I37" s="42" t="inlineStr">
        <is>
          <t>1.GET action=getBook&amp;id=2检查编辑页回显 2.POST action=update改价 3.查库验证 4.还原23.00</t>
        </is>
      </c>
      <c r="J37" s="42" t="inlineStr">
        <is>
          <t>编辑页表单value回显原书名《边城》；更新后库中price=99.99</t>
        </is>
      </c>
      <c r="K37" s="42" t="inlineStr">
        <is>
          <t>OK</t>
        </is>
      </c>
      <c r="L37" s="42" t="inlineStr">
        <is>
          <t>通过</t>
        </is>
      </c>
      <c r="M37" s="42" t="inlineStr">
        <is>
          <t>场景法（回显→更新→验证→还原）。实测：回显正确、更新生效、还原成功</t>
        </is>
      </c>
      <c r="N37" s="43" t="n"/>
    </row>
    <row r="38">
      <c r="A38" s="42" t="inlineStr">
        <is>
          <t>BS-IT-104</t>
        </is>
      </c>
      <c r="B38" s="42" t="inlineStr">
        <is>
          <t>M6 后台管理</t>
        </is>
      </c>
      <c r="C38" s="42" t="inlineStr">
        <is>
          <t>删除图书边界</t>
        </is>
      </c>
      <c r="D38" s="42" t="inlineStr">
        <is>
          <t>中</t>
        </is>
      </c>
      <c r="E38" s="42" t="inlineStr">
        <is>
          <t>是</t>
        </is>
      </c>
      <c r="F38" s="42" t="inlineStr">
        <is>
          <t>新增</t>
        </is>
      </c>
      <c r="G38" s="42" t="inlineStr">
        <is>
          <t>admin已登录；SQL造数一本待删书（作者CPDEL）</t>
        </is>
      </c>
      <c r="H38" s="42" t="inlineStr">
        <is>
          <t>id=存在 / 999999 / abc</t>
        </is>
      </c>
      <c r="I38" s="42" t="inlineStr">
        <is>
          <t>1.请求 action=delete&amp;id=X 2.验证库与响应</t>
        </is>
      </c>
      <c r="J38" s="42" t="inlineStr">
        <is>
          <t>存在的id删除成功且库中消失；不存在的id给出友好提示；非数字id不引发服务器500</t>
        </is>
      </c>
      <c r="K38" s="42" t="inlineStr">
        <is>
          <t>NG</t>
        </is>
      </c>
      <c r="L38" s="42" t="inlineStr">
        <is>
          <t>不通过</t>
        </is>
      </c>
      <c r="M38" s="42" t="inlineStr">
        <is>
          <t>边界值法（存在、极大不存在、类型非法）。实测：存在的id删除成功；id=999999静默跳回列表无任何提示；id=abc→HTTP 500（NumberFormatException未处理）</t>
        </is>
      </c>
      <c r="N38" s="43" t="n"/>
    </row>
    <row r="39">
      <c r="A39" s="42" t="inlineStr">
        <is>
          <t>BS-IT-105</t>
        </is>
      </c>
      <c r="B39" s="42" t="inlineStr">
        <is>
          <t>M6 后台管理</t>
        </is>
      </c>
      <c r="C39" s="42" t="inlineStr">
        <is>
          <t>用户管理新增与重复用户名</t>
        </is>
      </c>
      <c r="D39" s="42" t="inlineStr">
        <is>
          <t>高</t>
        </is>
      </c>
      <c r="E39" s="42" t="inlineStr">
        <is>
          <t>是</t>
        </is>
      </c>
      <c r="F39" s="42" t="inlineStr">
        <is>
          <t>新增</t>
        </is>
      </c>
      <c r="G39" s="42" t="inlineStr">
        <is>
          <t>admin已登录；库中已有admin用户；测试账号cp_test_01测后删除</t>
        </is>
      </c>
      <c r="H39" s="42" t="inlineStr">
        <is>
          <t>username=admin（重复）/ cp_test_01（新用户）</t>
        </is>
      </c>
      <c r="I39" s="42" t="inlineStr">
        <is>
          <t>1.POST /manager/UserServlet?action=add新增重复admin 2.新增cp_test_01 3.查库验证 4.删除还原</t>
        </is>
      </c>
      <c r="J39" s="42" t="inlineStr">
        <is>
          <t>重复用户名给出友好提示（不出现500错误页）；正常新增后用户数+1且可删除</t>
        </is>
      </c>
      <c r="K39" s="42" t="inlineStr">
        <is>
          <t>NG</t>
        </is>
      </c>
      <c r="L39" s="42" t="inlineStr">
        <is>
          <t>不通过</t>
        </is>
      </c>
      <c r="M39" s="42" t="inlineStr">
        <is>
          <t>等价类法+场景法。实测：重复用户名返回HTTP 500（Duplicate entry唯一约束冲突未捕获，Tomcat错误页）；正常新增与删除功能通过</t>
        </is>
      </c>
      <c r="N39" s="43" t="n"/>
    </row>
    <row r="40">
      <c r="A40" s="42" t="inlineStr">
        <is>
          <t>BS-IT-106</t>
        </is>
      </c>
      <c r="B40" s="42" t="inlineStr">
        <is>
          <t>M6 后台管理</t>
        </is>
      </c>
      <c r="C40" s="42" t="inlineStr">
        <is>
          <t>总账单对账与发货状态流转</t>
        </is>
      </c>
      <c r="D40" s="42" t="inlineStr">
        <is>
          <t>高</t>
        </is>
      </c>
      <c r="E40" s="42" t="inlineStr">
        <is>
          <t>是</t>
        </is>
      </c>
      <c r="F40" s="42" t="inlineStr">
        <is>
          <t>新增</t>
        </is>
      </c>
      <c r="G40" s="42" t="inlineStr">
        <is>
          <t>admin已登录；SQL造数临时订单CPTEST_ORDER_1（status=0），测后删除</t>
        </is>
      </c>
      <c r="H40" s="42" t="inlineStr">
        <is>
          <t>-</t>
        </is>
      </c>
      <c r="I40" s="42" t="inlineStr">
        <is>
          <t>1.请求 action=showTotal 2.页面四项统计与SQL直查库比对 3.请求 action=sendOrder&amp;orderId=CPTEST_ORDER_1 4.查库status</t>
        </is>
      </c>
      <c r="J40" s="42" t="inlineStr">
        <is>
          <t>用户总数/总订单数/销售本数/总收入与直查库结果一致；发货后订单status由0变为1</t>
        </is>
      </c>
      <c r="K40" s="42" t="inlineStr">
        <is>
          <t>OK</t>
        </is>
      </c>
      <c r="L40" s="42" t="inlineStr">
        <is>
          <t>通过</t>
        </is>
      </c>
      <c r="M40" s="42" t="inlineStr">
        <is>
          <t>场景法（对账+状态机验证）。实测：四项统计与库一致；发货后status=1。风险备注：总收入口径为SUM(price*sales)（销量×现价），图书价格事后修改会偏离订单实付金额</t>
        </is>
      </c>
      <c r="N40" s="43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3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3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3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3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3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3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3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3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3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3" t="n"/>
    </row>
    <row r="5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3" t="n"/>
    </row>
    <row r="52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5" right="0.5" top="0.5" bottom="0.5" header="0" footer="0"/>
  <pageSetup orientation="landscape" paperSize="9" scale="85" horizontalDpi="4294967292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28125" defaultRowHeight="15.6"/>
  <cols>
    <col width="4.6328125" customWidth="1" style="1" min="1" max="1"/>
    <col width="67.6328125" customWidth="1" style="1" min="2" max="2"/>
    <col width="11.6328125" customWidth="1" style="1" min="3" max="16384"/>
  </cols>
  <sheetData>
    <row r="1" ht="16.2" customHeight="1">
      <c r="A1" s="45" t="inlineStr">
        <is>
          <t>Introduction 使用说明</t>
        </is>
      </c>
      <c r="B1" s="45" t="n"/>
      <c r="C1" s="2" t="n"/>
    </row>
    <row r="2" ht="28.8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6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8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6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2003-02-20T06:59:55Z</dcterms:created>
  <dcterms:modified xmlns:dcterms="http://purl.org/dc/terms/" xmlns:xsi="http://www.w3.org/2001/XMLSchema-instance" xsi:type="dcterms:W3CDTF">2026-09-15T02:14:35Z</dcterms:modified>
  <cp:lastModifiedBy>user</cp:lastModifiedBy>
  <cp:lastPrinted>2003-12-15T03:50:21Z</cp:lastPrinted>
</cp:coreProperties>
</file>