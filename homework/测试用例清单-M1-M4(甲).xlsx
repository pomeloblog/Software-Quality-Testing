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王\Desktop\网上书店项目\homework\"/>
    </mc:Choice>
  </mc:AlternateContent>
  <bookViews>
    <workbookView windowWidth="30720" windowHeight="13380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<sst xmlns="http://schemas.openxmlformats.org/spreadsheetml/2006/main" count="303" uniqueCount="199">
  <si>
    <t>Test  Case Form 测试用例表单</t>
  </si>
  <si>
    <t>General Information 基本信息</t>
  </si>
  <si>
    <t>Product Verion 产品版本</t>
  </si>
  <si>
    <t>V1.0</t>
  </si>
  <si>
    <t>Confidentiality level 密级</t>
  </si>
  <si>
    <t>公开</t>
  </si>
  <si>
    <t>Project Name 项目名称</t>
  </si>
  <si>
    <t>网上书店系统</t>
  </si>
  <si>
    <t>Project ID 项目ID</t>
  </si>
  <si>
    <t>BS</t>
  </si>
  <si>
    <t>Prepared by 拟制</t>
  </si>
  <si>
    <t>王尚清</t>
  </si>
  <si>
    <t>Date 日期</t>
  </si>
  <si>
    <t>2026.09.14</t>
  </si>
  <si>
    <t>Reviewed by 评审人</t>
  </si>
  <si>
    <t>Approved by 批准</t>
  </si>
  <si>
    <t>武剑洁</t>
  </si>
  <si>
    <t>2026.09.15</t>
  </si>
  <si>
    <t>Number of Test cases 测试用例数</t>
  </si>
  <si>
    <t>Introduction 概述</t>
  </si>
  <si>
    <t>M1 用户认证、M4 购物车。被测对象为网上书店系统（JavaWeb MVC），测试环境：Windows 11 / JDK 1.8.0_504 / Tomcat 9.0.121 / MySQL 5.7.44。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</si>
  <si>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</si>
  <si>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</si>
  <si>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</si>
  <si>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</si>
  <si>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</si>
  <si>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</si>
  <si>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yyyy.mm.dd</t>
  </si>
  <si>
    <t>1.00</t>
  </si>
  <si>
    <t>xxx</t>
  </si>
  <si>
    <t>initial 初稿完成</t>
  </si>
  <si>
    <t>Name 作者名</t>
  </si>
  <si>
    <t>revised xxx 修改XXX Xxx Xxx ...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</si>
  <si>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</si>
  <si>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</si>
  <si>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</si>
  <si>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</si>
  <si>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</si>
  <si>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</si>
  <si>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</si>
  <si>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</si>
  <si>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</si>
  <si>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</si>
  <si>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</si>
  <si>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</si>
  <si>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</si>
  <si>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</si>
  <si>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</si>
  <si>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</si>
  <si>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</si>
  <si>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</si>
  <si>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</si>
  <si>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</si>
  <si>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</si>
  <si>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r>
      <t xml:space="preserve">Test Item </t>
    </r>
    <r>
      <rPr>
        <b/>
        <sz val="12"/>
        <rFont val="宋体"/>
        <charset val="134"/>
      </rPr>
      <t>测试项（即功能模块或函数）</t>
    </r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</si>
  <si>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</si>
  <si>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</si>
  <si>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</si>
  <si>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</si>
  <si>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</si>
  <si>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</si>
  <si>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</si>
  <si>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</si>
  <si>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</si>
  <si>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</si>
  <si>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</si>
  <si>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BS-IT-001</t>
  </si>
  <si>
    <t>M1 用户认证</t>
  </si>
  <si>
    <t>正确用户名和密码登录成功</t>
  </si>
  <si>
    <t>中</t>
  </si>
  <si>
    <t>是</t>
  </si>
  <si>
    <t>否</t>
  </si>
  <si>
    <t>数据库 t_user 中存在用户 admin/admin；应用已启动（http://localhost:8080/Book）</t>
  </si>
  <si>
    <t>username=admin, password=admin</t>
  </si>
  <si>
    <t>1. POST /Book/userServlet?action=login 提交用户名与密码
2. 观察响应页面与 session</t>
  </si>
  <si>
    <t>登录成功：转发到 login_success.jsp，session 中写入 user 对象，页面显示“登录成功”</t>
  </si>
  <si>
    <t>HTTP 200，页面显示“登录成功”</t>
  </si>
  <si>
    <t>OK</t>
  </si>
  <si>
    <t>等价类（有效等价类）</t>
  </si>
  <si>
    <t>BS-IT-002</t>
  </si>
  <si>
    <t>密码错误时登录失败</t>
  </si>
  <si>
    <t>高</t>
  </si>
  <si>
    <t>数据库存在用户 admin</t>
  </si>
  <si>
    <t>username=admin, password=wrongpwd</t>
  </si>
  <si>
    <t>1. POST /Book/userServlet?action=login，密码填错
2. 观察响应</t>
  </si>
  <si>
    <t>登录失败：提示“用户名或密码错误”，不写入 session</t>
  </si>
  <si>
    <t>HTTP 200，页面显示“用户名或密码错误”</t>
  </si>
  <si>
    <t>等价类（无效等价类）</t>
  </si>
  <si>
    <t>POK</t>
  </si>
  <si>
    <t>BS-IT-003</t>
  </si>
  <si>
    <t>用户名不存在时登录失败</t>
  </si>
  <si>
    <t>数据库不存在用户 nobody</t>
  </si>
  <si>
    <t>username=nobody, password=xxx</t>
  </si>
  <si>
    <t>1. POST /Book/userServlet?action=login，用不存在的用户名
2. 观察响应</t>
  </si>
  <si>
    <t>登录失败：提示“用户名或密码错误”</t>
  </si>
  <si>
    <t>NG</t>
  </si>
  <si>
    <t>BS-IT-004</t>
  </si>
  <si>
    <t>【缺陷】登录请求不携带验证码仍可登录</t>
  </si>
  <si>
    <t>数据库存在 admin；未访问过 /kaptcha.jpg（session 中无验证码）</t>
  </si>
  <si>
    <t>username=admin, password=admin，且不传 code 参数</t>
  </si>
  <si>
    <t>1. 直接 POST /Book/userServlet?action=login，完全不提交验证码
2. 观察是否登录成功</t>
  </si>
  <si>
    <t>应提示验证码错误并拒绝登录（登录必须校验验证码）</t>
  </si>
  <si>
    <t>HTTP 200 且直接“登录成功”——验证码形同虚设，可被绕过做暴力破解</t>
  </si>
  <si>
    <t>场景法</t>
  </si>
  <si>
    <t>NT</t>
  </si>
  <si>
    <t>BS-IT-005</t>
  </si>
  <si>
    <t>注册时验证码缺失被拒绝且不落库</t>
  </si>
  <si>
    <t>数据库不存在用户 probe01；未获取验证码</t>
  </si>
  <si>
    <t>username=probe01, password=123456, email=a@b.com，不传 code</t>
  </si>
  <si>
    <t>1. POST /Book/userServlet?action=regist，不提交验证码
2. 查询数据库 t_user 是否新增 probe01</t>
  </si>
  <si>
    <t>注册被拒绝，提示“验证码错误！”，数据库不新增用户</t>
  </si>
  <si>
    <t>HTTP 200 返回注册页；数据库查询 t_user 无 probe01（已确认仅 admin 一条）</t>
  </si>
  <si>
    <t>BS-UT-006</t>
  </si>
  <si>
    <t>【缺陷】注册时两次密码不一致仍可注册成功</t>
  </si>
  <si>
    <t>用 Stub 向 session 注入正确验证码；数据库不存在用户 repwd01</t>
  </si>
  <si>
    <t>username=repwd01, password=123456, repwd=654321（两次密码故意不一致）</t>
  </si>
  <si>
    <t>1. 单元测试中以 HttpServletRequest 动态代理 Stub 注入验证码 token
2. 调用 UserServlet.regist()
3. 检查数据库是否新增 repwd01</t>
  </si>
  <si>
    <t>应校验两次密码一致性，不一致则拒绝注册并提示</t>
  </si>
  <si>
    <t>UserServlet.regist() 第 96 行虽取出 repwd，但全程无 password.equals(repwd) 校验；两次密码不同也能注册成功（属密码确认机制缺失）</t>
  </si>
  <si>
    <t>等价类（无效等价类）+ Stub 打桩</t>
  </si>
  <si>
    <t>BS-IT-007</t>
  </si>
  <si>
    <t>用户名查重接口返回值正确</t>
  </si>
  <si>
    <t>低</t>
  </si>
  <si>
    <t>数据库存在 admin，不存在 notexist_xyz</t>
  </si>
  <si>
    <t>username=admin / username=notexist_xyz</t>
  </si>
  <si>
    <t>1. GET /Book/userServlet?action=ajaxExistsusername&amp;username=admin
2. GET ...&amp;username=notexist_xyz
3. 检查返回 JSON</t>
  </si>
  <si>
    <t>已存在返回 {"exitsUsername":true}；不存在返回 {"exitsUsername":false}</t>
  </si>
  <si>
    <t>分别返回 {"exitsUsername":true} 与 {"exitsUsername":false}</t>
  </si>
  <si>
    <t>等价类</t>
  </si>
  <si>
    <t>BS-UT-061</t>
  </si>
  <si>
    <t>M4 购物车</t>
  </si>
  <si>
    <t>同一本书重复加购时数量累加且金额正确</t>
  </si>
  <si>
    <t>构造全新 Cart 对象（不依赖 web 容器）</t>
  </si>
  <si>
    <t>对同一本图书（id=1, price=27.20）连续加购 2 次</t>
  </si>
  <si>
    <t>1. new Cart()
2. 两次调用 cart.addItem(同一 CartItem)
3. 断言 count 与 totalPrice</t>
  </si>
  <si>
    <t>count=2，totalPrice=54.40，且购物车中只有 1 个条目（不重复建行）</t>
  </si>
  <si>
    <t>count=2，totalPrice=54.40，items 大小为 1</t>
  </si>
  <si>
    <t xml:space="preserve">                           </t>
  </si>
  <si>
    <t>BS-UT-062</t>
  </si>
  <si>
    <t>购物车总金额使用 BigDecimal 精确计算</t>
  </si>
  <si>
    <t>构造 Cart，含单价 27.20、数量 3 的商品项</t>
  </si>
  <si>
    <t>price=27.20, count=3</t>
  </si>
  <si>
    <t>1. 计算 cart.getTotalPrice()
2. 断言等于 81.60（而非 81.60000000000001）</t>
  </si>
  <si>
    <t>返回 81.60，无二进制浮点误差</t>
  </si>
  <si>
    <t>getTotalPrice() 返回 81.60，与 BigDecimal 精确值相等</t>
  </si>
  <si>
    <t>等价类（数据精度）</t>
  </si>
  <si>
    <t>BS-IT-063</t>
  </si>
  <si>
    <t>【缺陷】加购不存在的图书 ID 返回 500 错误</t>
  </si>
  <si>
    <t>已建立会话（携带 JSESSIONID）</t>
  </si>
  <si>
    <t>id=99999（格式合法但数据库不存在该图书）</t>
  </si>
  <si>
    <t>1. GET /Book/cartServlet?action=ajaxAddItem&amp;id=99999
2. 观察 HTTP 状态码与响应内容</t>
  </si>
  <si>
    <t>应友好提示“图书不存在”，不应抛出服务端异常</t>
  </si>
  <si>
    <t>HTTP 500，响应体含 java.lang.NullPointerException（BookDao 查不到返回 null，CartServlet 第 26 行 book.getId() 解引用空指针）</t>
  </si>
  <si>
    <t>边界值</t>
  </si>
  <si>
    <t>BS-IT-064</t>
  </si>
  <si>
    <t>【缺陷】加购非数字 ID 返回 500 错误</t>
  </si>
  <si>
    <t>已建立会话</t>
  </si>
  <si>
    <t>id=abc（非数字）</t>
  </si>
  <si>
    <t>1. GET /Book/cartServlet?action=ajaxAddItem&amp;id=abc
2. 观察 HTTP 状态码</t>
  </si>
  <si>
    <t>应提示参数非法，不应抛出服务端异常</t>
  </si>
  <si>
    <t>HTTP 500。WebUtils.parseInt("abc",0) 静默返回默认值 0，再以 id=0 查库得到 null，触发同一处空指针</t>
  </si>
  <si>
    <t>BS-IT-065</t>
  </si>
  <si>
    <t>【缺陷】修改商品数量为负数导致购物车总数为负</t>
  </si>
  <si>
    <t>购物车中已有 2 种商品（id=1、id=2，各 1 件），总数量为 2</t>
  </si>
  <si>
    <t>id=1, count=-5</t>
  </si>
  <si>
    <t>1. GET /Book/cartServlet?action=updateCount&amp;id=1&amp;count=-5
2. 再加购一本书，读取返回 JSON 的 totalCount</t>
  </si>
  <si>
    <t>应拒绝负数数量并提示，购物车数量不得为负</t>
  </si>
  <si>
    <t>updateCount 返回 302 表示成功；随后 totalCount 为 -3（= -4 + 1），即 -5 已生效，可进一步生成负金额订单（Cart.updateCount 无下界校验）</t>
  </si>
  <si>
    <t>BS-IT-066</t>
  </si>
  <si>
    <t>【缺陷】修改数量为非数字被静默改为 1</t>
  </si>
  <si>
    <t>购物车中已有商品 id=1，总数量为 3</t>
  </si>
  <si>
    <t>id=1, count=abc</t>
  </si>
  <si>
    <t>1. GET /Book/cartServlet?action=updateCount&amp;id=1&amp;count=abc
2. 再加购一本书，读取 totalCount</t>
  </si>
  <si>
    <t>应提示数量参数非法，不应改变原有数量</t>
  </si>
  <si>
    <t>未提示任何错误，数量被静默改为 1（WebUtils.parseInt 的默认值 1 生效），随后 totalCount 由 3 变为 4（3-1+1+1）</t>
  </si>
  <si>
    <t>BS-IT-067</t>
  </si>
  <si>
    <t>【缺陷】空购物车时删除商品返回空响应</t>
  </si>
  <si>
    <t>全新会话，session 中不存在 cart 对象</t>
  </si>
  <si>
    <t>id=1</t>
  </si>
  <si>
    <t>1. 使用全新会话 GET /Book/cartServlet?action=deleteItem&amp;id=1
2. 观察 HTTP 状态码与响应体长度</t>
  </si>
  <si>
    <t>应正常跳转回购物车页或给出提示</t>
  </si>
  <si>
    <t>HTTP 200 但响应体 0 字节——CartServlet 中仅在 cart!=null 时才 sendRedirect，cart 为空时不产生任何响应，客户端会停在空白页</t>
  </si>
  <si>
    <t>BS-IT-068</t>
  </si>
  <si>
    <t>清空购物车后会话中的 cart 被移除</t>
  </si>
  <si>
    <t>已建立会话且购物车中有商品</t>
  </si>
  <si>
    <t>无参数</t>
  </si>
  <si>
    <t>1. GET /Book/cartServlet?action=clearItem
2. 检查 session 中 cart 属性</t>
  </si>
  <si>
    <t>session 中 cart 属性被移除，购物车总数量恢复为 0</t>
  </si>
  <si>
    <t>cart 属性被 removeAttribute 移除，页面显示购物车为空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</si>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</sst>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yy\.mm\.dd"/>
  </numFmts>
  <fonts count="33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Arial"/>
      <charset val="134"/>
    </font>
    <font>
      <b/>
      <sz val="18"/>
      <name val="Times New Roman"/>
      <charset val="134"/>
    </font>
    <font>
      <sz val="12"/>
      <name val="宋体"/>
      <charset val="134"/>
    </font>
    <font>
      <i/>
      <sz val="11"/>
      <color indexed="10"/>
      <name val="宋体"/>
      <charset val="134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2" fillId="7" borderId="1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9" applyNumberFormat="0" applyAlignment="0" applyProtection="0">
      <alignment vertical="center"/>
    </xf>
    <xf numFmtId="0" fontId="22" fillId="9" borderId="20" applyNumberFormat="0" applyAlignment="0" applyProtection="0">
      <alignment vertical="center"/>
    </xf>
    <xf numFmtId="0" fontId="23" fillId="9" borderId="19" applyNumberFormat="0" applyAlignment="0" applyProtection="0">
      <alignment vertical="center"/>
    </xf>
    <xf numFmtId="0" fontId="24" fillId="10" borderId="21" applyNumberFormat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0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0" fillId="37" borderId="0" applyNumberFormat="0" applyBorder="0" applyAlignment="0" applyProtection="0">
      <alignment vertical="center"/>
    </xf>
  </cellStyleXfs>
  <cellXfs count="56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Continuous"/>
    </xf>
    <xf numFmtId="0" fontId="0" fillId="0" borderId="2" xfId="0" applyBorder="1"/>
    <xf numFmtId="0" fontId="3" fillId="3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wrapText="1"/>
    </xf>
    <xf numFmtId="0" fontId="4" fillId="3" borderId="5" xfId="0" applyFont="1" applyFill="1" applyBorder="1" applyProtection="1">
      <protection locked="0"/>
    </xf>
    <xf numFmtId="0" fontId="4" fillId="0" borderId="0" xfId="0" applyFont="1"/>
    <xf numFmtId="0" fontId="2" fillId="4" borderId="5" xfId="0" applyFont="1" applyFill="1" applyBorder="1" applyAlignment="1">
      <alignment horizontal="center" wrapText="1"/>
    </xf>
    <xf numFmtId="0" fontId="2" fillId="4" borderId="5" xfId="0" applyFont="1" applyFill="1" applyBorder="1" applyAlignment="1">
      <alignment horizontal="center" wrapText="1"/>
    </xf>
    <xf numFmtId="0" fontId="5" fillId="4" borderId="5" xfId="0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" fillId="3" borderId="5" xfId="0" applyFont="1" applyFill="1" applyBorder="1" applyAlignment="1" applyProtection="1">
      <alignment wrapText="1"/>
      <protection locked="0"/>
    </xf>
    <xf numFmtId="0" fontId="6" fillId="3" borderId="5" xfId="0" applyFont="1" applyFill="1" applyBorder="1" applyAlignment="1" applyProtection="1">
      <alignment wrapText="1"/>
      <protection locked="0"/>
    </xf>
    <xf numFmtId="0" fontId="7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2" borderId="1" xfId="0" applyFont="1" applyFill="1" applyBorder="1" applyAlignment="1">
      <alignment horizontal="centerContinuous"/>
    </xf>
    <xf numFmtId="0" fontId="4" fillId="0" borderId="2" xfId="0" applyFont="1" applyBorder="1"/>
    <xf numFmtId="0" fontId="4" fillId="3" borderId="1" xfId="0" applyFont="1" applyFill="1" applyBorder="1" applyAlignment="1" applyProtection="1">
      <alignment horizontal="centerContinuous"/>
      <protection locked="0"/>
    </xf>
    <xf numFmtId="0" fontId="8" fillId="3" borderId="1" xfId="0" applyFont="1" applyFill="1" applyBorder="1" applyAlignment="1" applyProtection="1">
      <alignment horizontal="centerContinuous"/>
      <protection locked="0"/>
    </xf>
    <xf numFmtId="0" fontId="4" fillId="0" borderId="6" xfId="0" applyFont="1" applyBorder="1"/>
    <xf numFmtId="0" fontId="4" fillId="5" borderId="1" xfId="0" applyFont="1" applyFill="1" applyBorder="1" applyAlignment="1">
      <alignment horizontal="center"/>
    </xf>
    <xf numFmtId="0" fontId="9" fillId="3" borderId="1" xfId="0" applyFont="1" applyFill="1" applyBorder="1" applyAlignment="1" applyProtection="1">
      <alignment horizontal="centerContinuous"/>
      <protection locked="0"/>
    </xf>
    <xf numFmtId="0" fontId="10" fillId="3" borderId="1" xfId="0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Font="1" applyFill="1" applyBorder="1" applyAlignment="1">
      <alignment horizontal="center"/>
    </xf>
    <xf numFmtId="0" fontId="4" fillId="3" borderId="7" xfId="0" applyFont="1" applyFill="1" applyBorder="1" applyAlignment="1" applyProtection="1">
      <alignment horizontal="centerContinuous"/>
      <protection locked="0"/>
    </xf>
    <xf numFmtId="0" fontId="4" fillId="3" borderId="8" xfId="0" applyFont="1" applyFill="1" applyBorder="1" applyAlignment="1" applyProtection="1">
      <alignment horizontal="centerContinuous"/>
      <protection locked="0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9" xfId="0" applyNumberFormat="1" applyFont="1" applyFill="1" applyBorder="1" applyAlignment="1" applyProtection="1">
      <alignment horizontal="centerContinuous"/>
      <protection locked="0"/>
    </xf>
    <xf numFmtId="0" fontId="4" fillId="6" borderId="0" xfId="0" applyFont="1" applyFill="1" applyAlignment="1" applyProtection="1">
      <alignment horizontal="centerContinuous"/>
      <protection locked="0"/>
    </xf>
    <xf numFmtId="176" fontId="4" fillId="6" borderId="0" xfId="0" applyNumberFormat="1" applyFont="1" applyFill="1" applyAlignment="1" applyProtection="1">
      <alignment horizontal="centerContinuous"/>
      <protection locked="0"/>
    </xf>
    <xf numFmtId="0" fontId="1" fillId="4" borderId="5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4" fillId="4" borderId="5" xfId="0" applyFont="1" applyFill="1" applyBorder="1" applyAlignment="1">
      <alignment horizontal="center"/>
    </xf>
    <xf numFmtId="0" fontId="4" fillId="5" borderId="5" xfId="0" applyFont="1" applyFill="1" applyBorder="1"/>
    <xf numFmtId="10" fontId="4" fillId="5" borderId="5" xfId="0" applyNumberFormat="1" applyFont="1" applyFill="1" applyBorder="1"/>
    <xf numFmtId="0" fontId="4" fillId="4" borderId="12" xfId="0" applyFont="1" applyFill="1" applyBorder="1" applyAlignment="1">
      <alignment horizontal="center"/>
    </xf>
    <xf numFmtId="0" fontId="4" fillId="5" borderId="12" xfId="0" applyFont="1" applyFill="1" applyBorder="1"/>
    <xf numFmtId="10" fontId="4" fillId="5" borderId="12" xfId="0" applyNumberFormat="1" applyFont="1" applyFill="1" applyBorder="1"/>
    <xf numFmtId="0" fontId="11" fillId="6" borderId="7" xfId="0" applyFont="1" applyFill="1" applyBorder="1" applyAlignment="1">
      <alignment horizontal="center"/>
    </xf>
    <xf numFmtId="0" fontId="11" fillId="6" borderId="10" xfId="0" applyFont="1" applyFill="1" applyBorder="1"/>
    <xf numFmtId="0" fontId="11" fillId="6" borderId="10" xfId="0" applyFont="1" applyFill="1" applyBorder="1" applyAlignment="1">
      <alignment horizontal="center"/>
    </xf>
    <xf numFmtId="10" fontId="11" fillId="6" borderId="11" xfId="0" applyNumberFormat="1" applyFont="1" applyFill="1" applyBorder="1"/>
    <xf numFmtId="0" fontId="1" fillId="4" borderId="13" xfId="0" applyFont="1" applyFill="1" applyBorder="1"/>
    <xf numFmtId="0" fontId="4" fillId="5" borderId="13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  <a:prstDash val="solid"/>
        </a:ln>
      </c:spPr>
      <c:tx>
        <c:rich>
          <a:bodyPr/>
          <a:lstStyle/>
          <a:p>
            <a:pPr>
              <a:defRPr/>
            </a:pPr>
          </a:p>
        </c:rich>
      </c:tx>
    </c:title>
    <c:autoTitleDeleted val="0"/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  <a:prstDash val="solid"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</c:dPt>
          <c:dLbls>
            <c:delete val="1"/>
          </c:dLbls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0.222222222222222</c:v>
                </c:pt>
                <c:pt idx="1">
                  <c:v>0</c:v>
                </c:pt>
                <c:pt idx="2">
                  <c:v>0.194444444444444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c558f9c1-5b4b-4729-8da7-ddb2b4751ae3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>
      <xdr:nvGraphicFramePr>
        <xdr:cNvPr id="2" name="Chart 1"/>
        <xdr:cNvGraphicFramePr/>
      </xdr:nvGraphicFramePr>
      <xdr:xfrm>
        <a:off x="3798570" y="6998970"/>
        <a:ext cx="3566160" cy="24745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/>
        <a:srcRect/>
        <a:stretch>
          <a:fillRect/>
        </a:stretch>
      </xdr:blipFill>
      <xdr:spPr>
        <a:xfrm>
          <a:off x="146685" y="104775"/>
          <a:ext cx="2760345" cy="37528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43"/>
  <sheetViews>
    <sheetView showGridLines="0" showOutlineSymbols="0" tabSelected="1" zoomScale="160" zoomScaleNormal="160" topLeftCell="A19" workbookViewId="0">
      <selection activeCell="K41" sqref="K41"/>
    </sheetView>
  </sheetViews>
  <sheetFormatPr defaultColWidth="11.6363636363636" defaultRowHeight="15.6"/>
  <cols>
    <col min="1" max="1" width="1.63636363636364" style="9" customWidth="1"/>
    <col min="2" max="13" width="10.6363636363636" style="9" customWidth="1"/>
    <col min="14" max="15" width="7.63636363636364" style="9" customWidth="1"/>
    <col min="16" max="16384" width="11.6363636363636" style="9" customWidth="1"/>
  </cols>
  <sheetData>
    <row r="1" ht="9.9" customHeight="1"/>
    <row r="2" ht="23.4" customHeight="1" spans="2:12">
      <c r="B2" s="16" t="s">
        <v>0</v>
      </c>
      <c r="C2" s="16"/>
      <c r="D2" s="17"/>
      <c r="E2" s="17"/>
      <c r="F2" s="18"/>
      <c r="G2" s="18"/>
      <c r="H2" s="18"/>
      <c r="I2" s="18"/>
      <c r="J2" s="18"/>
      <c r="K2" s="18"/>
    </row>
    <row r="3" spans="2:12">
      <c r="B3" s="17"/>
      <c r="C3" s="17"/>
      <c r="D3" s="17"/>
      <c r="E3" s="18"/>
      <c r="F3" s="18"/>
      <c r="G3" s="18"/>
      <c r="H3" s="18"/>
      <c r="I3" s="18"/>
      <c r="J3" s="18"/>
      <c r="K3" s="18"/>
    </row>
    <row r="4" spans="2:12">
      <c r="B4" s="17"/>
      <c r="C4" s="17"/>
      <c r="D4" s="17"/>
      <c r="E4" s="17"/>
      <c r="F4" s="18"/>
      <c r="G4" s="18"/>
      <c r="H4" s="18"/>
      <c r="I4" s="18"/>
      <c r="J4" s="18"/>
      <c r="K4" s="18"/>
    </row>
    <row r="5" ht="3.9" customHeight="1"/>
    <row r="6" ht="16.2" customHeight="1" spans="2:12">
      <c r="B6" s="19" t="s">
        <v>1</v>
      </c>
      <c r="C6" s="19"/>
      <c r="D6" s="19"/>
      <c r="E6" s="19"/>
      <c r="F6" s="19"/>
      <c r="G6" s="19"/>
      <c r="H6" s="19"/>
      <c r="I6" s="19"/>
      <c r="J6" s="19"/>
      <c r="K6" s="19"/>
      <c r="L6" s="20"/>
    </row>
    <row r="7" ht="16.2" customHeight="1" spans="2:12">
      <c r="B7" s="19" t="s">
        <v>2</v>
      </c>
      <c r="C7" s="19"/>
      <c r="D7" s="19"/>
      <c r="E7" s="21" t="s">
        <v>3</v>
      </c>
      <c r="F7" s="21"/>
      <c r="G7" s="19" t="s">
        <v>4</v>
      </c>
      <c r="H7" s="19"/>
      <c r="I7" s="19"/>
      <c r="J7" s="21" t="s">
        <v>5</v>
      </c>
      <c r="K7" s="21"/>
      <c r="L7" s="20"/>
    </row>
    <row r="8" ht="16.2" customHeight="1" spans="2:12">
      <c r="B8" s="19" t="s">
        <v>6</v>
      </c>
      <c r="C8" s="19"/>
      <c r="D8" s="19"/>
      <c r="E8" s="21" t="s">
        <v>7</v>
      </c>
      <c r="F8" s="21"/>
      <c r="G8" s="19" t="s">
        <v>8</v>
      </c>
      <c r="H8" s="19"/>
      <c r="I8" s="19"/>
      <c r="J8" s="21" t="s">
        <v>9</v>
      </c>
      <c r="K8" s="21"/>
      <c r="L8" s="20"/>
    </row>
    <row r="9" ht="16.2" customHeight="1" spans="2:12">
      <c r="B9" s="19" t="s">
        <v>10</v>
      </c>
      <c r="C9" s="19"/>
      <c r="D9" s="19"/>
      <c r="E9" s="22" t="s">
        <v>11</v>
      </c>
      <c r="F9" s="21"/>
      <c r="G9" s="19" t="s">
        <v>12</v>
      </c>
      <c r="H9" s="19"/>
      <c r="I9" s="19"/>
      <c r="J9" s="21" t="s">
        <v>13</v>
      </c>
      <c r="K9" s="21"/>
      <c r="L9" s="20"/>
    </row>
    <row r="10" ht="16.2" customHeight="1" spans="2:12">
      <c r="B10" s="19" t="s">
        <v>14</v>
      </c>
      <c r="C10" s="19"/>
      <c r="D10" s="19"/>
      <c r="E10" s="22" t="s">
        <v>11</v>
      </c>
      <c r="F10" s="21"/>
      <c r="G10" s="19" t="s">
        <v>12</v>
      </c>
      <c r="H10" s="19"/>
      <c r="I10" s="19"/>
      <c r="J10" s="21" t="s">
        <v>13</v>
      </c>
      <c r="K10" s="21"/>
      <c r="L10" s="20"/>
    </row>
    <row r="11" ht="16.2" customHeight="1" spans="2:12">
      <c r="B11" s="19" t="s">
        <v>15</v>
      </c>
      <c r="C11" s="19"/>
      <c r="D11" s="19"/>
      <c r="E11" s="22" t="s">
        <v>16</v>
      </c>
      <c r="F11" s="21"/>
      <c r="G11" s="19" t="s">
        <v>12</v>
      </c>
      <c r="H11" s="19"/>
      <c r="I11" s="19"/>
      <c r="J11" s="21" t="s">
        <v>17</v>
      </c>
      <c r="K11" s="21"/>
      <c r="L11" s="20"/>
    </row>
    <row r="12" ht="3.9" customHeight="1" spans="2:12">
      <c r="B12" s="23"/>
      <c r="C12" s="23"/>
      <c r="D12" s="23"/>
      <c r="E12" s="23"/>
      <c r="F12" s="23"/>
      <c r="G12" s="23"/>
      <c r="H12" s="23"/>
      <c r="I12" s="23"/>
      <c r="J12" s="23"/>
      <c r="K12" s="23"/>
    </row>
    <row r="13" ht="16.2" customHeight="1" spans="2:12">
      <c r="B13" s="19" t="s">
        <v>18</v>
      </c>
      <c r="C13" s="19"/>
      <c r="D13" s="19"/>
      <c r="E13" s="24">
        <v>36</v>
      </c>
      <c r="F13" s="20"/>
    </row>
    <row r="14" ht="3.9" customHeight="1" spans="2:12">
      <c r="B14" s="23"/>
      <c r="C14" s="23"/>
      <c r="D14" s="23"/>
      <c r="E14" s="23"/>
    </row>
    <row r="15" ht="16.2" customHeight="1" spans="2:12">
      <c r="B15" s="19" t="s">
        <v>19</v>
      </c>
      <c r="C15" s="19"/>
      <c r="D15" s="19"/>
      <c r="E15" s="19"/>
      <c r="F15" s="19"/>
      <c r="G15" s="19"/>
      <c r="H15" s="19"/>
      <c r="I15" s="19"/>
      <c r="J15" s="19"/>
      <c r="K15" s="19"/>
      <c r="L15" s="20"/>
    </row>
    <row r="16" ht="18.9" customHeight="1" spans="2:12">
      <c r="B16" s="25" t="s">
        <v>20</v>
      </c>
      <c r="C16" s="26"/>
      <c r="D16" s="21"/>
      <c r="E16" s="21"/>
      <c r="F16" s="21"/>
      <c r="G16" s="21"/>
      <c r="H16" s="21"/>
      <c r="I16" s="21"/>
      <c r="J16" s="21"/>
      <c r="K16" s="21"/>
      <c r="L16" s="20"/>
    </row>
    <row r="17" ht="3.9" customHeight="1" spans="2:12">
      <c r="B17" s="23"/>
      <c r="C17" s="23"/>
      <c r="D17" s="23"/>
      <c r="E17" s="23"/>
      <c r="F17" s="23"/>
      <c r="G17" s="23"/>
      <c r="H17" s="23"/>
      <c r="I17" s="23"/>
      <c r="J17" s="23"/>
      <c r="K17" s="23"/>
    </row>
    <row r="18" ht="16.2" customHeight="1" spans="2:12">
      <c r="B18" s="19" t="s">
        <v>21</v>
      </c>
      <c r="C18" s="19"/>
      <c r="D18" s="19"/>
      <c r="E18" s="19"/>
      <c r="F18" s="19"/>
      <c r="G18" s="19"/>
      <c r="H18" s="19"/>
      <c r="I18" s="19"/>
      <c r="J18" s="19"/>
      <c r="K18" s="19"/>
      <c r="L18" s="20"/>
    </row>
    <row r="19" ht="48" customHeight="1" spans="2:12">
      <c r="B19" s="27" t="s">
        <v>22</v>
      </c>
      <c r="C19" s="27" t="s">
        <v>23</v>
      </c>
      <c r="D19" s="27" t="s">
        <v>24</v>
      </c>
      <c r="E19" s="28" t="s">
        <v>25</v>
      </c>
      <c r="F19" s="28"/>
      <c r="G19" s="28"/>
      <c r="H19" s="28"/>
      <c r="I19" s="28"/>
      <c r="J19" s="28"/>
      <c r="K19" s="27" t="s">
        <v>26</v>
      </c>
      <c r="L19" s="20"/>
    </row>
    <row r="20" ht="16.2" customHeight="1" spans="2:12">
      <c r="B20" s="29" t="s">
        <v>27</v>
      </c>
      <c r="C20" s="30" t="s">
        <v>28</v>
      </c>
      <c r="D20" s="21" t="s">
        <v>29</v>
      </c>
      <c r="E20" s="21" t="s">
        <v>30</v>
      </c>
      <c r="F20" s="21"/>
      <c r="G20" s="21"/>
      <c r="H20" s="21"/>
      <c r="I20" s="21"/>
      <c r="J20" s="21"/>
      <c r="K20" s="21" t="s">
        <v>31</v>
      </c>
      <c r="L20" s="20"/>
    </row>
    <row r="21" ht="16.2" customHeight="1" spans="2:12">
      <c r="B21" s="29" t="s">
        <v>27</v>
      </c>
      <c r="C21" s="30">
        <v>1.01</v>
      </c>
      <c r="D21" s="21" t="s">
        <v>29</v>
      </c>
      <c r="E21" s="21" t="s">
        <v>32</v>
      </c>
      <c r="F21" s="21"/>
      <c r="G21" s="21"/>
      <c r="H21" s="21"/>
      <c r="I21" s="21"/>
      <c r="J21" s="21"/>
      <c r="K21" s="21" t="s">
        <v>31</v>
      </c>
      <c r="L21" s="20"/>
    </row>
    <row r="22" ht="16.2" customHeight="1" spans="2:12">
      <c r="B22" s="29"/>
      <c r="C22" s="30"/>
      <c r="D22" s="21" t="s">
        <v>29</v>
      </c>
      <c r="E22" s="21" t="s">
        <v>32</v>
      </c>
      <c r="F22" s="21"/>
      <c r="G22" s="21"/>
      <c r="H22" s="21"/>
      <c r="I22" s="21"/>
      <c r="J22" s="21"/>
      <c r="K22" s="21" t="s">
        <v>31</v>
      </c>
      <c r="L22" s="20"/>
    </row>
    <row r="23" ht="16.2" customHeight="1" spans="2:12">
      <c r="B23" s="29" t="s">
        <v>27</v>
      </c>
      <c r="C23" s="30">
        <v>1.02</v>
      </c>
      <c r="D23" s="21" t="s">
        <v>29</v>
      </c>
      <c r="E23" s="21" t="s">
        <v>32</v>
      </c>
      <c r="F23" s="21"/>
      <c r="G23" s="21"/>
      <c r="H23" s="21"/>
      <c r="I23" s="21"/>
      <c r="J23" s="21"/>
      <c r="K23" s="21" t="s">
        <v>31</v>
      </c>
      <c r="L23" s="20"/>
    </row>
    <row r="24" ht="16.2" customHeight="1" spans="2:12">
      <c r="B24" s="29" t="s">
        <v>33</v>
      </c>
      <c r="C24" s="30" t="s">
        <v>33</v>
      </c>
      <c r="D24" s="31" t="s">
        <v>33</v>
      </c>
      <c r="E24" s="21" t="s">
        <v>33</v>
      </c>
      <c r="F24" s="21"/>
      <c r="G24" s="21"/>
      <c r="H24" s="21"/>
      <c r="I24" s="21"/>
      <c r="J24" s="21"/>
      <c r="K24" s="21" t="s">
        <v>31</v>
      </c>
      <c r="L24" s="20"/>
    </row>
    <row r="25" ht="16.2" customHeight="1" spans="2:12">
      <c r="B25" s="29" t="s">
        <v>27</v>
      </c>
      <c r="C25" s="30">
        <v>2</v>
      </c>
      <c r="D25" s="21" t="s">
        <v>29</v>
      </c>
      <c r="E25" s="21" t="s">
        <v>32</v>
      </c>
      <c r="F25" s="21"/>
      <c r="G25" s="21"/>
      <c r="H25" s="21"/>
      <c r="I25" s="21"/>
      <c r="J25" s="21"/>
      <c r="K25" s="21" t="s">
        <v>33</v>
      </c>
      <c r="L25" s="20"/>
    </row>
    <row r="26" ht="3.9" customHeight="1" spans="2:12">
      <c r="B26" s="23"/>
      <c r="C26" s="23"/>
      <c r="D26" s="23"/>
      <c r="E26" s="23"/>
      <c r="F26" s="23"/>
      <c r="G26" s="23"/>
      <c r="H26" s="23"/>
      <c r="I26" s="23"/>
      <c r="J26" s="23"/>
      <c r="K26" s="23"/>
    </row>
    <row r="27" ht="16.2" customHeight="1" spans="2:12">
      <c r="B27" s="19" t="s">
        <v>34</v>
      </c>
      <c r="C27" s="19"/>
      <c r="D27" s="19"/>
      <c r="E27" s="19"/>
      <c r="F27" s="19"/>
      <c r="G27" s="19"/>
      <c r="H27" s="19"/>
      <c r="I27" s="19"/>
      <c r="J27" s="19"/>
      <c r="K27" s="19"/>
      <c r="L27" s="20"/>
    </row>
    <row r="28" ht="16.2" customHeight="1" spans="2:12">
      <c r="B28" s="32" t="s">
        <v>35</v>
      </c>
      <c r="C28" s="19" t="s">
        <v>36</v>
      </c>
      <c r="D28" s="19"/>
      <c r="E28" s="19"/>
      <c r="F28" s="19"/>
      <c r="G28" s="19"/>
      <c r="H28" s="19"/>
      <c r="I28" s="19"/>
      <c r="J28" s="19" t="s">
        <v>37</v>
      </c>
      <c r="K28" s="19"/>
      <c r="L28" s="20"/>
    </row>
    <row r="29" spans="2:12">
      <c r="B29" s="21">
        <v>1</v>
      </c>
      <c r="C29" s="21" t="s">
        <v>38</v>
      </c>
      <c r="D29" s="21"/>
      <c r="E29" s="21"/>
      <c r="F29" s="21"/>
      <c r="G29" s="21"/>
      <c r="H29" s="21"/>
      <c r="I29" s="21"/>
      <c r="J29" s="29" t="s">
        <v>27</v>
      </c>
      <c r="K29" s="29"/>
      <c r="L29" s="20"/>
    </row>
    <row r="30" spans="2:12">
      <c r="B30" s="21">
        <v>2</v>
      </c>
      <c r="C30" s="21" t="s">
        <v>39</v>
      </c>
      <c r="D30" s="21"/>
      <c r="E30" s="21"/>
      <c r="F30" s="21"/>
      <c r="G30" s="21"/>
      <c r="H30" s="21"/>
      <c r="I30" s="21"/>
      <c r="J30" s="29" t="s">
        <v>27</v>
      </c>
      <c r="K30" s="29"/>
      <c r="L30" s="20"/>
    </row>
    <row r="31" spans="2:12">
      <c r="B31" s="21">
        <v>3</v>
      </c>
      <c r="C31" s="21" t="s">
        <v>40</v>
      </c>
      <c r="D31" s="21"/>
      <c r="E31" s="21"/>
      <c r="F31" s="21"/>
      <c r="G31" s="21"/>
      <c r="H31" s="21"/>
      <c r="I31" s="21"/>
      <c r="J31" s="29" t="s">
        <v>27</v>
      </c>
      <c r="K31" s="29"/>
      <c r="L31" s="20"/>
    </row>
    <row r="32" spans="2:12">
      <c r="B32" s="21">
        <v>4</v>
      </c>
      <c r="C32" s="21" t="s">
        <v>41</v>
      </c>
      <c r="D32" s="21"/>
      <c r="E32" s="21"/>
      <c r="F32" s="21"/>
      <c r="G32" s="21"/>
      <c r="H32" s="21"/>
      <c r="I32" s="21"/>
      <c r="J32" s="29" t="s">
        <v>27</v>
      </c>
      <c r="K32" s="29"/>
      <c r="L32" s="20"/>
    </row>
    <row r="33" spans="2:11">
      <c r="B33" s="33">
        <v>5</v>
      </c>
      <c r="C33" s="34" t="s">
        <v>42</v>
      </c>
      <c r="D33" s="34"/>
      <c r="E33" s="34"/>
      <c r="F33" s="34"/>
      <c r="G33" s="34"/>
      <c r="H33" s="34"/>
      <c r="I33" s="34"/>
      <c r="J33" s="35" t="s">
        <v>27</v>
      </c>
      <c r="K33" s="36"/>
    </row>
    <row r="34" spans="2:11">
      <c r="B34" s="37"/>
      <c r="C34" s="37"/>
      <c r="D34" s="37"/>
      <c r="E34" s="37"/>
      <c r="F34" s="37"/>
      <c r="G34" s="37"/>
      <c r="H34" s="37"/>
      <c r="I34" s="37"/>
      <c r="J34" s="38"/>
      <c r="K34" s="38"/>
    </row>
    <row r="37" ht="15" customHeight="1" spans="2:11">
      <c r="B37" s="39" t="s">
        <v>43</v>
      </c>
      <c r="C37" s="40"/>
      <c r="D37" s="40"/>
      <c r="E37" s="41"/>
    </row>
    <row r="38" ht="16.2" customHeight="1" spans="2:11">
      <c r="B38" s="42" t="s">
        <v>44</v>
      </c>
      <c r="C38" s="43">
        <f>IF($E$13=0,0,COUNTIF('Test Cases测试用例'!$L:$L,"=OK"))</f>
        <v>8</v>
      </c>
      <c r="D38" s="42" t="s">
        <v>45</v>
      </c>
      <c r="E38" s="44">
        <f>IF(E13=0,0,C38/E13)</f>
        <v>0.222222222222222</v>
      </c>
    </row>
    <row r="39" ht="16.2" customHeight="1" spans="2:11">
      <c r="B39" s="42" t="s">
        <v>46</v>
      </c>
      <c r="C39" s="43">
        <f>IF($E$13=0,0,COUNTIF('Test Cases测试用例'!$L:$L,"=POK"))</f>
        <v>0</v>
      </c>
      <c r="D39" s="42" t="s">
        <v>47</v>
      </c>
      <c r="E39" s="44">
        <f>IF(E13=0,0,C39/E13)</f>
        <v>0</v>
      </c>
    </row>
    <row r="40" ht="16.2" customHeight="1" spans="2:11">
      <c r="B40" s="42" t="s">
        <v>48</v>
      </c>
      <c r="C40" s="43">
        <f>IF($E$13=0,0,COUNTIF('Test Cases测试用例'!$L:$L,"=NG"))</f>
        <v>7</v>
      </c>
      <c r="D40" s="42" t="s">
        <v>49</v>
      </c>
      <c r="E40" s="44">
        <f>IF(E13=0,0,C40/E13)</f>
        <v>0.194444444444444</v>
      </c>
    </row>
    <row r="41" ht="16.2" customHeight="1" spans="2:11">
      <c r="B41" s="45" t="s">
        <v>50</v>
      </c>
      <c r="C41" s="46">
        <f>IF($E$13=0,0,COUNTIF('Test Cases测试用例'!$L:$L,"=NT"))</f>
        <v>0</v>
      </c>
      <c r="D41" s="45" t="s">
        <v>51</v>
      </c>
      <c r="E41" s="47">
        <f>IF(E13=0,0,C41/E13)</f>
        <v>0</v>
      </c>
    </row>
    <row r="42" ht="3" customHeight="1" spans="2:11">
      <c r="B42" s="48"/>
      <c r="C42" s="49"/>
      <c r="D42" s="50"/>
      <c r="E42" s="51"/>
    </row>
    <row r="43" ht="16.2" customHeight="1" spans="2:11">
      <c r="B43" s="52" t="s">
        <v>52</v>
      </c>
      <c r="C43" s="53">
        <f>E13</f>
        <v>36</v>
      </c>
      <c r="D43" s="54"/>
      <c r="E43" s="55"/>
    </row>
  </sheetData>
  <mergeCells count="2">
    <mergeCell ref="B37:E37"/>
    <mergeCell ref="C43:E43"/>
  </mergeCells>
  <pageMargins left="0.5" right="0.5" top="0.5" bottom="0.5" header="0" footer="0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9"/>
  <sheetViews>
    <sheetView showGridLines="0" topLeftCell="C4" workbookViewId="0">
      <selection activeCell="R9" sqref="R9"/>
    </sheetView>
  </sheetViews>
  <sheetFormatPr defaultColWidth="11.6363636363636" defaultRowHeight="15.6"/>
  <cols>
    <col min="1" max="1" width="15.3636363636364" style="8" customWidth="1"/>
    <col min="2" max="2" width="16.5454545454545" style="8" customWidth="1"/>
    <col min="3" max="3" width="26.8181818181818" style="8" customWidth="1"/>
    <col min="4" max="4" width="9.18939393939394" style="8" customWidth="1"/>
    <col min="5" max="5" width="13.9090909090909" style="8" hidden="1" customWidth="1"/>
    <col min="6" max="6" width="8.90909090909091" style="8" hidden="1" customWidth="1"/>
    <col min="7" max="7" width="21.1818181818182" style="8" customWidth="1"/>
    <col min="8" max="8" width="12.8181818181818" style="8" customWidth="1"/>
    <col min="9" max="9" width="22.8787878787879" style="8" customWidth="1"/>
    <col min="10" max="10" width="23.7121212121212" style="8" customWidth="1"/>
    <col min="11" max="11" width="22.1515151515152" style="8" customWidth="1"/>
    <col min="12" max="12" width="11" style="8" customWidth="1"/>
    <col min="13" max="13" width="20.9090909090909" style="8" customWidth="1"/>
    <col min="14" max="14" width="3.45454545454545" style="9" hidden="1" customWidth="1"/>
    <col min="15" max="16384" width="11.6363636363636" style="9" customWidth="1"/>
  </cols>
  <sheetData>
    <row r="1" ht="48" customHeight="1" spans="1:140">
      <c r="A1" s="10" t="s">
        <v>53</v>
      </c>
      <c r="B1" s="11" t="s">
        <v>54</v>
      </c>
      <c r="C1" s="10" t="s">
        <v>55</v>
      </c>
      <c r="D1" s="10" t="s">
        <v>56</v>
      </c>
      <c r="E1" s="12" t="s">
        <v>57</v>
      </c>
      <c r="F1" s="12" t="s">
        <v>58</v>
      </c>
      <c r="G1" s="10" t="s">
        <v>59</v>
      </c>
      <c r="H1" s="10" t="s">
        <v>60</v>
      </c>
      <c r="I1" s="10" t="s">
        <v>61</v>
      </c>
      <c r="J1" s="10" t="s">
        <v>62</v>
      </c>
      <c r="K1" s="10" t="s">
        <v>63</v>
      </c>
      <c r="L1" s="10" t="s">
        <v>64</v>
      </c>
      <c r="M1" s="10" t="s">
        <v>65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</row>
    <row r="2" ht="84.6" spans="1:140">
      <c r="A2" s="14" t="s">
        <v>66</v>
      </c>
      <c r="B2" s="14" t="s">
        <v>67</v>
      </c>
      <c r="C2" s="14" t="s">
        <v>68</v>
      </c>
      <c r="D2" s="14" t="s">
        <v>69</v>
      </c>
      <c r="E2" s="14" t="s">
        <v>70</v>
      </c>
      <c r="F2" s="14" t="s">
        <v>71</v>
      </c>
      <c r="G2" s="14" t="s">
        <v>72</v>
      </c>
      <c r="H2" s="14" t="s">
        <v>73</v>
      </c>
      <c r="I2" s="14" t="s">
        <v>74</v>
      </c>
      <c r="J2" s="14" t="s">
        <v>75</v>
      </c>
      <c r="K2" s="14" t="s">
        <v>76</v>
      </c>
      <c r="L2" s="14" t="s">
        <v>77</v>
      </c>
      <c r="M2" s="14" t="s">
        <v>78</v>
      </c>
      <c r="N2" s="9" t="s">
        <v>77</v>
      </c>
    </row>
    <row r="3" ht="70.8" spans="1:140">
      <c r="A3" s="14" t="s">
        <v>79</v>
      </c>
      <c r="B3" s="14" t="s">
        <v>67</v>
      </c>
      <c r="C3" s="14" t="s">
        <v>80</v>
      </c>
      <c r="D3" s="14" t="s">
        <v>81</v>
      </c>
      <c r="E3" s="14" t="s">
        <v>70</v>
      </c>
      <c r="F3" s="14" t="s">
        <v>71</v>
      </c>
      <c r="G3" s="14" t="s">
        <v>82</v>
      </c>
      <c r="H3" s="14" t="s">
        <v>83</v>
      </c>
      <c r="I3" s="14" t="s">
        <v>84</v>
      </c>
      <c r="J3" s="14" t="s">
        <v>85</v>
      </c>
      <c r="K3" s="14" t="s">
        <v>86</v>
      </c>
      <c r="L3" s="14" t="s">
        <v>77</v>
      </c>
      <c r="M3" s="14" t="s">
        <v>87</v>
      </c>
      <c r="N3" s="9" t="s">
        <v>88</v>
      </c>
    </row>
    <row r="4" ht="70.8" spans="1:140">
      <c r="A4" s="14" t="s">
        <v>89</v>
      </c>
      <c r="B4" s="14" t="s">
        <v>67</v>
      </c>
      <c r="C4" s="14" t="s">
        <v>90</v>
      </c>
      <c r="D4" s="15" t="s">
        <v>81</v>
      </c>
      <c r="E4" s="14" t="s">
        <v>70</v>
      </c>
      <c r="F4" s="14" t="s">
        <v>71</v>
      </c>
      <c r="G4" s="14" t="s">
        <v>91</v>
      </c>
      <c r="H4" s="14" t="s">
        <v>92</v>
      </c>
      <c r="I4" s="14" t="s">
        <v>93</v>
      </c>
      <c r="J4" s="14" t="s">
        <v>94</v>
      </c>
      <c r="K4" s="14" t="s">
        <v>86</v>
      </c>
      <c r="L4" s="14" t="s">
        <v>77</v>
      </c>
      <c r="M4" s="14" t="s">
        <v>87</v>
      </c>
      <c r="N4" s="9" t="s">
        <v>95</v>
      </c>
    </row>
    <row r="5" ht="86.4" spans="1:140">
      <c r="A5" s="14" t="s">
        <v>96</v>
      </c>
      <c r="B5" s="14" t="s">
        <v>67</v>
      </c>
      <c r="C5" s="14" t="s">
        <v>97</v>
      </c>
      <c r="D5" s="14" t="s">
        <v>81</v>
      </c>
      <c r="E5" s="14" t="s">
        <v>70</v>
      </c>
      <c r="F5" s="14" t="s">
        <v>71</v>
      </c>
      <c r="G5" s="14" t="s">
        <v>98</v>
      </c>
      <c r="H5" s="14" t="s">
        <v>99</v>
      </c>
      <c r="I5" s="14" t="s">
        <v>100</v>
      </c>
      <c r="J5" s="14" t="s">
        <v>101</v>
      </c>
      <c r="K5" s="14" t="s">
        <v>102</v>
      </c>
      <c r="L5" s="14" t="s">
        <v>95</v>
      </c>
      <c r="M5" s="14" t="s">
        <v>103</v>
      </c>
      <c r="N5" s="9" t="s">
        <v>104</v>
      </c>
    </row>
    <row r="6" ht="99" spans="1:140">
      <c r="A6" s="14" t="s">
        <v>105</v>
      </c>
      <c r="B6" s="14" t="s">
        <v>67</v>
      </c>
      <c r="C6" s="14" t="s">
        <v>106</v>
      </c>
      <c r="D6" s="14" t="s">
        <v>81</v>
      </c>
      <c r="E6" s="14" t="s">
        <v>70</v>
      </c>
      <c r="F6" s="14" t="s">
        <v>71</v>
      </c>
      <c r="G6" s="14" t="s">
        <v>107</v>
      </c>
      <c r="H6" s="14" t="s">
        <v>108</v>
      </c>
      <c r="I6" s="14" t="s">
        <v>109</v>
      </c>
      <c r="J6" s="14" t="s">
        <v>110</v>
      </c>
      <c r="K6" s="14" t="s">
        <v>111</v>
      </c>
      <c r="L6" s="14" t="s">
        <v>77</v>
      </c>
      <c r="M6" s="14" t="s">
        <v>103</v>
      </c>
    </row>
    <row r="7" ht="142.8" spans="1:140">
      <c r="A7" s="14" t="s">
        <v>112</v>
      </c>
      <c r="B7" s="14" t="s">
        <v>67</v>
      </c>
      <c r="C7" s="14" t="s">
        <v>113</v>
      </c>
      <c r="D7" s="14" t="s">
        <v>69</v>
      </c>
      <c r="E7" s="14" t="s">
        <v>70</v>
      </c>
      <c r="F7" s="14" t="s">
        <v>71</v>
      </c>
      <c r="G7" s="14" t="s">
        <v>114</v>
      </c>
      <c r="H7" s="14" t="s">
        <v>115</v>
      </c>
      <c r="I7" s="14" t="s">
        <v>116</v>
      </c>
      <c r="J7" s="14" t="s">
        <v>117</v>
      </c>
      <c r="K7" s="14" t="s">
        <v>118</v>
      </c>
      <c r="L7" s="14" t="s">
        <v>95</v>
      </c>
      <c r="M7" s="14" t="s">
        <v>119</v>
      </c>
    </row>
    <row r="8" ht="124.8" spans="1:140">
      <c r="A8" s="14" t="s">
        <v>120</v>
      </c>
      <c r="B8" s="14" t="s">
        <v>67</v>
      </c>
      <c r="C8" s="14" t="s">
        <v>121</v>
      </c>
      <c r="D8" s="14" t="s">
        <v>122</v>
      </c>
      <c r="E8" s="14" t="s">
        <v>70</v>
      </c>
      <c r="F8" s="14" t="s">
        <v>71</v>
      </c>
      <c r="G8" s="14" t="s">
        <v>123</v>
      </c>
      <c r="H8" s="14" t="s">
        <v>124</v>
      </c>
      <c r="I8" s="14" t="s">
        <v>125</v>
      </c>
      <c r="J8" s="14" t="s">
        <v>126</v>
      </c>
      <c r="K8" s="14" t="s">
        <v>127</v>
      </c>
      <c r="L8" s="14" t="s">
        <v>77</v>
      </c>
      <c r="M8" s="14" t="s">
        <v>128</v>
      </c>
    </row>
    <row r="9" ht="84.6" spans="1:140">
      <c r="A9" s="14" t="s">
        <v>129</v>
      </c>
      <c r="B9" s="14" t="s">
        <v>130</v>
      </c>
      <c r="C9" s="14" t="s">
        <v>131</v>
      </c>
      <c r="D9" s="14" t="s">
        <v>81</v>
      </c>
      <c r="E9" s="14" t="s">
        <v>70</v>
      </c>
      <c r="F9" s="14" t="s">
        <v>71</v>
      </c>
      <c r="G9" s="14" t="s">
        <v>132</v>
      </c>
      <c r="H9" s="14" t="s">
        <v>133</v>
      </c>
      <c r="I9" s="14" t="s">
        <v>134</v>
      </c>
      <c r="J9" s="14" t="s">
        <v>135</v>
      </c>
      <c r="K9" s="14" t="s">
        <v>136</v>
      </c>
      <c r="L9" s="14" t="s">
        <v>77</v>
      </c>
      <c r="M9" s="14" t="s">
        <v>128</v>
      </c>
      <c r="R9" s="9" t="s">
        <v>137</v>
      </c>
    </row>
    <row r="10" ht="85.2" spans="1:140">
      <c r="A10" s="14" t="s">
        <v>138</v>
      </c>
      <c r="B10" s="14" t="s">
        <v>130</v>
      </c>
      <c r="C10" s="14" t="s">
        <v>139</v>
      </c>
      <c r="D10" s="14" t="s">
        <v>81</v>
      </c>
      <c r="E10" s="14" t="s">
        <v>70</v>
      </c>
      <c r="F10" s="14" t="s">
        <v>71</v>
      </c>
      <c r="G10" s="14" t="s">
        <v>140</v>
      </c>
      <c r="H10" s="14" t="s">
        <v>141</v>
      </c>
      <c r="I10" s="14" t="s">
        <v>142</v>
      </c>
      <c r="J10" s="14" t="s">
        <v>143</v>
      </c>
      <c r="K10" s="14" t="s">
        <v>144</v>
      </c>
      <c r="L10" s="14" t="s">
        <v>77</v>
      </c>
      <c r="M10" s="14" t="s">
        <v>145</v>
      </c>
    </row>
    <row r="11" ht="142.8" spans="1:140">
      <c r="A11" s="14" t="s">
        <v>146</v>
      </c>
      <c r="B11" s="14" t="s">
        <v>130</v>
      </c>
      <c r="C11" s="14" t="s">
        <v>147</v>
      </c>
      <c r="D11" s="14" t="s">
        <v>69</v>
      </c>
      <c r="E11" s="14" t="s">
        <v>70</v>
      </c>
      <c r="F11" s="14" t="s">
        <v>71</v>
      </c>
      <c r="G11" s="14" t="s">
        <v>148</v>
      </c>
      <c r="H11" s="14" t="s">
        <v>149</v>
      </c>
      <c r="I11" s="14" t="s">
        <v>150</v>
      </c>
      <c r="J11" s="14" t="s">
        <v>151</v>
      </c>
      <c r="K11" s="14" t="s">
        <v>152</v>
      </c>
      <c r="L11" s="14" t="s">
        <v>95</v>
      </c>
      <c r="M11" s="14" t="s">
        <v>153</v>
      </c>
    </row>
    <row r="12" ht="100.2" spans="1:140">
      <c r="A12" s="14" t="s">
        <v>154</v>
      </c>
      <c r="B12" s="14" t="s">
        <v>130</v>
      </c>
      <c r="C12" s="14" t="s">
        <v>155</v>
      </c>
      <c r="D12" s="14" t="s">
        <v>69</v>
      </c>
      <c r="E12" s="14" t="s">
        <v>70</v>
      </c>
      <c r="F12" s="14" t="s">
        <v>71</v>
      </c>
      <c r="G12" s="14" t="s">
        <v>156</v>
      </c>
      <c r="H12" s="14" t="s">
        <v>157</v>
      </c>
      <c r="I12" s="14" t="s">
        <v>158</v>
      </c>
      <c r="J12" s="14" t="s">
        <v>159</v>
      </c>
      <c r="K12" s="14" t="s">
        <v>160</v>
      </c>
      <c r="L12" s="14" t="s">
        <v>95</v>
      </c>
      <c r="M12" s="14" t="s">
        <v>153</v>
      </c>
    </row>
    <row r="13" ht="157.8" spans="1:140">
      <c r="A13" s="14" t="s">
        <v>161</v>
      </c>
      <c r="B13" s="14" t="s">
        <v>130</v>
      </c>
      <c r="C13" s="14" t="s">
        <v>162</v>
      </c>
      <c r="D13" s="14" t="s">
        <v>81</v>
      </c>
      <c r="E13" s="14" t="s">
        <v>70</v>
      </c>
      <c r="F13" s="14" t="s">
        <v>71</v>
      </c>
      <c r="G13" s="14" t="s">
        <v>163</v>
      </c>
      <c r="H13" s="14" t="s">
        <v>164</v>
      </c>
      <c r="I13" s="14" t="s">
        <v>165</v>
      </c>
      <c r="J13" s="14" t="s">
        <v>166</v>
      </c>
      <c r="K13" s="14" t="s">
        <v>167</v>
      </c>
      <c r="L13" s="14" t="s">
        <v>95</v>
      </c>
      <c r="M13" s="14" t="s">
        <v>153</v>
      </c>
    </row>
    <row r="14" ht="143.4" spans="1:140">
      <c r="A14" s="14" t="s">
        <v>168</v>
      </c>
      <c r="B14" s="14" t="s">
        <v>130</v>
      </c>
      <c r="C14" s="14" t="s">
        <v>169</v>
      </c>
      <c r="D14" s="14" t="s">
        <v>81</v>
      </c>
      <c r="E14" s="14" t="s">
        <v>70</v>
      </c>
      <c r="F14" s="14" t="s">
        <v>71</v>
      </c>
      <c r="G14" s="14" t="s">
        <v>170</v>
      </c>
      <c r="H14" s="14" t="s">
        <v>171</v>
      </c>
      <c r="I14" s="14" t="s">
        <v>172</v>
      </c>
      <c r="J14" s="14" t="s">
        <v>173</v>
      </c>
      <c r="K14" s="14" t="s">
        <v>174</v>
      </c>
      <c r="L14" s="14" t="s">
        <v>95</v>
      </c>
      <c r="M14" s="14" t="s">
        <v>153</v>
      </c>
    </row>
    <row r="15" ht="143.4" spans="1:140">
      <c r="A15" s="14" t="s">
        <v>175</v>
      </c>
      <c r="B15" s="14" t="s">
        <v>130</v>
      </c>
      <c r="C15" s="14" t="s">
        <v>176</v>
      </c>
      <c r="D15" s="14" t="s">
        <v>69</v>
      </c>
      <c r="E15" s="14" t="s">
        <v>70</v>
      </c>
      <c r="F15" s="14" t="s">
        <v>71</v>
      </c>
      <c r="G15" s="14" t="s">
        <v>177</v>
      </c>
      <c r="H15" s="14" t="s">
        <v>178</v>
      </c>
      <c r="I15" s="14" t="s">
        <v>179</v>
      </c>
      <c r="J15" s="14" t="s">
        <v>180</v>
      </c>
      <c r="K15" s="14" t="s">
        <v>181</v>
      </c>
      <c r="L15" s="14" t="s">
        <v>95</v>
      </c>
      <c r="M15" s="14" t="s">
        <v>153</v>
      </c>
    </row>
    <row r="16" ht="70.2" spans="1:140">
      <c r="A16" s="14" t="s">
        <v>182</v>
      </c>
      <c r="B16" s="14" t="s">
        <v>130</v>
      </c>
      <c r="C16" s="14" t="s">
        <v>183</v>
      </c>
      <c r="D16" s="14" t="s">
        <v>69</v>
      </c>
      <c r="E16" s="14" t="s">
        <v>70</v>
      </c>
      <c r="F16" s="14" t="s">
        <v>71</v>
      </c>
      <c r="G16" s="14" t="s">
        <v>184</v>
      </c>
      <c r="H16" s="14" t="s">
        <v>185</v>
      </c>
      <c r="I16" s="14" t="s">
        <v>186</v>
      </c>
      <c r="J16" s="14" t="s">
        <v>187</v>
      </c>
      <c r="K16" s="14" t="s">
        <v>188</v>
      </c>
      <c r="L16" s="14" t="s">
        <v>77</v>
      </c>
      <c r="M16" s="14" t="s">
        <v>103</v>
      </c>
    </row>
    <row r="17" spans="1:13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</row>
    <row r="18" spans="1:13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</row>
    <row r="19" spans="1:13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</row>
    <row r="20" spans="1:13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</row>
    <row r="21" spans="1:13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</row>
    <row r="22" spans="1:13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</row>
    <row r="23" spans="1:13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</row>
    <row r="24" spans="1:13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</row>
    <row r="25" spans="1:13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</row>
    <row r="26" spans="1:1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</row>
    <row r="27" spans="1:13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</row>
    <row r="28" spans="1:13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</row>
    <row r="29" spans="1:13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</row>
    <row r="30" spans="1:13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</row>
    <row r="31" spans="1:13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</row>
    <row r="32" spans="1:13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</row>
    <row r="33" spans="1:13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</row>
    <row r="34" spans="1:13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</row>
    <row r="35" spans="1:13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</row>
    <row r="36" spans="1:13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</row>
    <row r="37" spans="1:13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</row>
    <row r="38" spans="1:13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</row>
    <row r="39" spans="1:13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</row>
    <row r="40" spans="1:13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</row>
    <row r="41" spans="1:13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</row>
    <row r="42" spans="1:13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</row>
    <row r="43" spans="1:13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</row>
    <row r="44" spans="1:13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</row>
    <row r="45" spans="1:13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</row>
    <row r="46" spans="1:13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</row>
    <row r="47" spans="1:13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</row>
    <row r="48" spans="1:13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</row>
    <row r="49" spans="1:13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</row>
    <row r="50" spans="1:13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</row>
    <row r="51" spans="1:13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</row>
    <row r="52" spans="1:13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</row>
    <row r="53" spans="1:13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</row>
    <row r="54" spans="1:13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</row>
    <row r="55" spans="1:13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</row>
    <row r="56" spans="1:13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</row>
    <row r="57" spans="1:13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</row>
    <row r="58" spans="1:13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</row>
    <row r="59" spans="1:13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</row>
    <row r="60" spans="1:13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</row>
    <row r="61" spans="1:13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</row>
    <row r="62" spans="1:13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</row>
    <row r="63" spans="1:13">
      <c r="A63" s="14"/>
      <c r="B63" s="14"/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</row>
    <row r="64" spans="1:13">
      <c r="A64" s="14"/>
      <c r="B64" s="14"/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</row>
    <row r="65" spans="1:13">
      <c r="A65" s="14"/>
      <c r="B65" s="14"/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</row>
    <row r="66" spans="1:1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</row>
    <row r="67" spans="1:13">
      <c r="L67" s="14"/>
    </row>
    <row r="68" spans="1:13">
      <c r="L68" s="14"/>
    </row>
    <row r="69" spans="1:13">
      <c r="L69" s="14"/>
    </row>
    <row r="70" spans="1:13">
      <c r="L70" s="14"/>
    </row>
    <row r="71" spans="1:13">
      <c r="L71" s="14"/>
    </row>
    <row r="72" spans="1:13">
      <c r="L72" s="14"/>
    </row>
    <row r="73" spans="1:13">
      <c r="L73" s="14"/>
    </row>
    <row r="74" spans="1:13">
      <c r="L74" s="14"/>
    </row>
    <row r="75" spans="1:13">
      <c r="L75" s="14"/>
    </row>
    <row r="76" spans="1:13">
      <c r="L76" s="14"/>
    </row>
    <row r="77" spans="1:13">
      <c r="L77" s="14"/>
    </row>
    <row r="78" spans="1:13">
      <c r="L78" s="14"/>
    </row>
    <row r="79" spans="1:13">
      <c r="L79" s="14"/>
    </row>
    <row r="80" spans="1:13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  <row r="12386" spans="12:12">
      <c r="L12386" s="14"/>
    </row>
    <row r="12387" spans="12:12">
      <c r="L12387" s="14"/>
    </row>
    <row r="12388" spans="12:12">
      <c r="L12388" s="14"/>
    </row>
    <row r="12389" spans="12:12">
      <c r="L12389" s="14"/>
    </row>
  </sheetData>
  <dataValidations count="3">
    <dataValidation allowBlank="1" showErrorMessage="1" errorTitle="Warning" error="Invalide Data" sqref="K2"/>
    <dataValidation type="list" allowBlank="1" showInputMessage="1" showErrorMessage="1" sqref="L2:L12389">
      <formula1>Result</formula1>
    </dataValidation>
    <dataValidation type="list" allowBlank="1" showInputMessage="1" showErrorMessage="1" sqref="L12390:L65536">
      <formula1>#REF!</formula1>
    </dataValidation>
  </dataValidations>
  <pageMargins left="0.5" right="0.5" top="0.5" bottom="0.5" header="0" footer="0"/>
  <pageSetup paperSize="9" scale="85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175" zoomScaleNormal="175" workbookViewId="0">
      <selection activeCell="B11" sqref="B11"/>
    </sheetView>
  </sheetViews>
  <sheetFormatPr defaultColWidth="11.6363636363636" defaultRowHeight="15.6" outlineLevelCol="2"/>
  <cols>
    <col min="1" max="1" width="4.63636363636364" style="1" customWidth="1"/>
    <col min="2" max="2" width="67.6363636363636" style="1" customWidth="1"/>
    <col min="3" max="16384" width="11.6363636363636" style="1" customWidth="1"/>
  </cols>
  <sheetData>
    <row r="1" ht="16.2" customHeight="1" spans="1:3">
      <c r="A1" s="2" t="s">
        <v>189</v>
      </c>
      <c r="B1" s="2"/>
      <c r="C1" s="3"/>
    </row>
    <row r="2" ht="28.8" customHeight="1" spans="1:3">
      <c r="A2" s="4">
        <v>1</v>
      </c>
      <c r="B2" s="5" t="s">
        <v>190</v>
      </c>
      <c r="C2" s="3"/>
    </row>
    <row r="3" spans="1:3">
      <c r="A3" s="4">
        <v>2</v>
      </c>
      <c r="B3" s="5" t="s">
        <v>191</v>
      </c>
      <c r="C3" s="3"/>
    </row>
    <row r="4" ht="42.6" customHeight="1" spans="1:3">
      <c r="A4" s="4">
        <v>3</v>
      </c>
      <c r="B4" s="5" t="s">
        <v>192</v>
      </c>
      <c r="C4" s="3"/>
    </row>
    <row r="5" ht="28.8" customHeight="1" spans="1:3">
      <c r="A5" s="4">
        <v>4</v>
      </c>
      <c r="B5" s="5" t="s">
        <v>193</v>
      </c>
      <c r="C5" s="3"/>
    </row>
    <row r="6" ht="33" customHeight="1" spans="1:3">
      <c r="A6" s="4">
        <v>5</v>
      </c>
      <c r="B6" s="5" t="s">
        <v>194</v>
      </c>
      <c r="C6" s="3"/>
    </row>
    <row r="7" ht="42.6" customHeight="1" spans="1:3">
      <c r="A7" s="4">
        <v>6</v>
      </c>
      <c r="B7" s="5" t="s">
        <v>195</v>
      </c>
      <c r="C7" s="3"/>
    </row>
    <row r="8" spans="1:3">
      <c r="A8" s="4">
        <v>7</v>
      </c>
      <c r="B8" s="5" t="s">
        <v>196</v>
      </c>
      <c r="C8" s="3"/>
    </row>
    <row r="9" spans="1:3">
      <c r="A9" s="6">
        <v>8</v>
      </c>
      <c r="B9" s="7" t="s">
        <v>197</v>
      </c>
      <c r="C9" s="3"/>
    </row>
    <row r="10" ht="73.5" customHeight="1" spans="1:3">
      <c r="A10" s="6">
        <v>9</v>
      </c>
      <c r="B10" s="7" t="s">
        <v>198</v>
      </c>
    </row>
  </sheetData>
  <sheetProtection sheet="1" objects="1" scenarios="1"/>
  <pageMargins left="0.5" right="0.5" top="0.5" bottom="0.5" header="0" footer="0"/>
  <pageSetup paperSize="9" orientation="portrait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芬妮占领世界</cp:lastModifiedBy>
  <dcterms:created xsi:type="dcterms:W3CDTF">2003-02-20T06:59:00Z</dcterms:created>
  <cp:lastPrinted>2003-12-15T03:50:00Z</cp:lastPrinted>
  <dcterms:modified xsi:type="dcterms:W3CDTF">2026-09-14T09:45:13Z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51DEDEFEDADC4437A889378A59668D9F_12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